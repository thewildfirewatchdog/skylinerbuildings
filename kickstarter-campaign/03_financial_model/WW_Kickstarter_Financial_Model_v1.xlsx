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it_Cost" sheetId="3" state="visible" r:id="rId3"/>
    <sheet xmlns:r="http://schemas.openxmlformats.org/officeDocument/2006/relationships" name="Reward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Funding_Goal" sheetId="6" state="visible" r:id="rId6"/>
    <sheet xmlns:r="http://schemas.openxmlformats.org/officeDocument/2006/relationships" name="Cash_Timing" sheetId="7" state="visible" r:id="rId7"/>
    <sheet xmlns:r="http://schemas.openxmlformats.org/officeDocument/2006/relationships" name="Stress_Tests" sheetId="8" state="visible" r:id="rId8"/>
    <sheet xmlns:r="http://schemas.openxmlformats.org/officeDocument/2006/relationships" name="Capacity" sheetId="9" state="visible" r:id="rId9"/>
  </sheets>
  <definedNames>
    <definedName name="ks_fee">Inputs!$B$4</definedName>
    <definedName name="pp_fee">Inputs!$B$5</definedName>
    <definedName name="pp_fix">Inputs!$B$6</definedName>
    <definedName name="drop_rate">Inputs!$B$7</definedName>
    <definedName name="payout_days">Inputs!$B$8</definedName>
    <definedName name="camp_days">Inputs!$B$11</definedName>
    <definedName name="launch_date">Inputs!$B$12</definedName>
    <definedName name="min_batch">Inputs!$B$13</definedName>
    <definedName name="p_support">Inputs!$B$16</definedName>
    <definedName name="p_fobkit">Inputs!$B$17</definedName>
    <definedName name="p_early">Inputs!$B$18</definedName>
    <definedName name="p_std">Inputs!$B$19</definedName>
    <definedName name="p_hose">Inputs!$B$20</definedName>
    <definedName name="ship_pump">Inputs!$B$21</definedName>
    <definedName name="ship_kit">Inputs!$B$22</definedName>
    <definedName name="ship_sup">Inputs!$B$23</definedName>
    <definedName name="cost_ship_pump">Inputs!$B$26</definedName>
    <definedName name="cost_ship_kit">Inputs!$B$27</definedName>
    <definedName name="cost_ship_sup">Inputs!$B$28</definedName>
    <definedName name="c_engine">Inputs!$B$31</definedName>
    <definedName name="c_pumpend">Inputs!$B$32</definedName>
    <definedName name="c_frame">Inputs!$B$33</definedName>
    <definedName name="c_remote">Inputs!$B$34</definedName>
    <definedName name="c_valve">Inputs!$B$35</definedName>
    <definedName name="c_power">Inputs!$B$36</definedName>
    <definedName name="c_labor">Inputs!$B$37</definedName>
    <definedName name="c_qc">Inputs!$B$38</definedName>
    <definedName name="c_pack">Inputs!$B$39</definedName>
    <definedName name="c_warr">Inputs!$B$40</definedName>
    <definedName name="c_hosepkg">Inputs!$B$41</definedName>
    <definedName name="c_kit">Inputs!$B$42</definedName>
    <definedName name="c_support">Inputs!$B$43</definedName>
    <definedName name="vol_disc">Inputs!$B$44</definedName>
    <definedName name="cost_over">Inputs!$B$45</definedName>
    <definedName name="o_insur">Inputs!$B$48</definedName>
    <definedName name="o_fcc">Inputs!$B$49</definedName>
    <definedName name="o_test">Inputs!$B$50</definedName>
    <definedName name="o_tool">Inputs!$B$51</definedName>
    <definedName name="o_video">Inputs!$B$52</definedName>
    <definedName name="o_legal">Inputs!$B$53</definedName>
    <definedName name="o_patent">Inputs!$B$54</definedName>
    <definedName name="o_ads">Inputs!$B$55</definedName>
    <definedName name="o_soft">Inputs!$B$56</definedName>
    <definedName name="contingency">Inputs!$B$57</definedName>
    <definedName name="tax_res">Inputs!$B$58</definedName>
    <definedName name="hrs_wk">Inputs!$B$68</definedName>
    <definedName name="hrs_unit">Inputs!$B$69</definedName>
    <definedName name="lead_eng">Inputs!$B$70</definedName>
    <definedName name="deposit_pct">Inputs!$B$71</definedName>
    <definedName name="unit_cost_base">Unit_Cost!$B$12</definedName>
    <definedName name="unit_cost_cons">Unit_Cost!$C$12</definedName>
    <definedName name="unit_cost_opt">Unit_Cost!$D$12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;[Red]-&quot;$&quot;#,##0.00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F4E9E"/>
    </font>
    <font>
      <i val="1"/>
      <color rgb="005D5D5D"/>
      <sz val="9"/>
    </font>
    <font/>
  </fonts>
  <fills count="4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4" fontId="3" fillId="3" borderId="1" pivotButton="0" quotePrefix="0" xfId="0"/>
    <xf numFmtId="0" fontId="4" fillId="0" borderId="0" pivotButton="0" quotePrefix="0" xfId="0"/>
    <xf numFmtId="165" fontId="3" fillId="3" borderId="1" pivotButton="0" quotePrefix="0" xfId="0"/>
    <xf numFmtId="164" fontId="0" fillId="0" borderId="0" pivotButton="0" quotePrefix="0" xfId="0"/>
    <xf numFmtId="0" fontId="3" fillId="3" borderId="1" pivotButton="0" quotePrefix="0" xfId="0"/>
    <xf numFmtId="166" fontId="3" fillId="3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6" fontId="1" fillId="0" borderId="0" pivotButton="0" quotePrefix="0" xfId="0"/>
    <xf numFmtId="0" fontId="5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Wildfire Watchdog — Dry Lightning 3000 Kickstarter Financial Model v1 (DRAFT for advisor review)</t>
        </is>
      </c>
    </row>
    <row r="2">
      <c r="A2" s="2" t="inlineStr">
        <is>
          <t>Built 2026-09-17. All formulas are live. Change blue cells on the Inputs sheet only; every other sheet recalculates.</t>
        </is>
      </c>
    </row>
    <row r="3">
      <c r="A3" s="2" t="inlineStr"/>
    </row>
    <row r="4">
      <c r="A4" s="1" t="inlineStr">
        <is>
          <t>Status labels used in column C of Inputs:</t>
        </is>
      </c>
    </row>
    <row r="5">
      <c r="A5" s="2" t="inlineStr">
        <is>
          <t xml:space="preserve">  VERIFIED = supported by a receipt, quote, signed document or measured test in the Wildfire Watchdog Drive records.</t>
        </is>
      </c>
    </row>
    <row r="6">
      <c r="A6" s="2" t="inlineStr">
        <is>
          <t xml:space="preserve">  ESTIMATE = founder or producer estimate with a stated basis and a low/high range (columns E and F).</t>
        </is>
      </c>
    </row>
    <row r="7">
      <c r="A7" s="2" t="inlineStr">
        <is>
          <t xml:space="preserve">  PROPOSED = a campaign design choice (price, quantity, policy) awaiting Jeremy's and the advisor's approval.</t>
        </is>
      </c>
    </row>
    <row r="8">
      <c r="A8" s="2" t="inlineStr">
        <is>
          <t xml:space="preserve">  UNKNOWN = no evidence yet; a placeholder that must be replaced before launch.</t>
        </is>
      </c>
    </row>
    <row r="9">
      <c r="A9" s="2" t="inlineStr"/>
    </row>
    <row r="10">
      <c r="A10" s="1" t="inlineStr">
        <is>
          <t>Sheets:</t>
        </is>
      </c>
    </row>
    <row r="11">
      <c r="A11" s="2" t="inlineStr">
        <is>
          <t xml:space="preserve">  Inputs — every assumption (costs, fees, prices, quantities, timing).</t>
        </is>
      </c>
    </row>
    <row r="12">
      <c r="A12" s="2" t="inlineStr">
        <is>
          <t xml:space="preserve">  Unit_Cost — per-unit bill of materials for the DL3000 in three cost scenarios.</t>
        </is>
      </c>
    </row>
    <row r="13">
      <c r="A13" s="2" t="inlineStr">
        <is>
          <t xml:space="preserve">  Rewards — each reward tier: price, shipping, fees, per-unit cost, contribution margin.</t>
        </is>
      </c>
    </row>
    <row r="14">
      <c r="A14" s="2" t="inlineStr">
        <is>
          <t xml:space="preserve">  Scenarios — Conservative / Base / Optimistic backer mixes → gross pledges, fees, dropped pledges, net cash, costs, surplus.</t>
        </is>
      </c>
    </row>
    <row r="15">
      <c r="A15" s="2" t="inlineStr">
        <is>
          <t xml:space="preserve">  Funding_Goal — the goal derived from one-time costs plus the minimum production batch; break-even backer counts.</t>
        </is>
      </c>
    </row>
    <row r="16">
      <c r="A16" s="2" t="inlineStr">
        <is>
          <t xml:space="preserve">  Cash_Timing — month-by-month cash from prelaunch through fulfillment, including the minimum cash Jeremy needs before Kickstarter pays out.</t>
        </is>
      </c>
    </row>
    <row r="17">
      <c r="A17" s="2" t="inlineStr">
        <is>
          <t xml:space="preserve">  Stress_Tests — cost overruns, delays, worse reward mixes.</t>
        </is>
      </c>
    </row>
    <row r="18">
      <c r="A18" s="2" t="inlineStr">
        <is>
          <t xml:space="preserve">  Capacity — assembly hours and units per week (fulfillment capacity limit).</t>
        </is>
      </c>
    </row>
    <row r="19">
      <c r="A19" s="2" t="inlineStr"/>
    </row>
    <row r="20">
      <c r="A20" s="2" t="inlineStr">
        <is>
          <t>Fee treatment: Kickstarter's 5% fee and the payment-processing fee (3% + $0.20 per pledge) are charged on the TOTAL pledge including shipping. Dropped (failed) pledges are removed before fees. Shipping is charged as a separate line inside each pledge and is shown separately from reward price.</t>
        </is>
      </c>
    </row>
    <row r="21">
      <c r="A21" s="2" t="inlineStr">
        <is>
          <t>No sales tax is collected via Kickstarter; Oregon has no state sales tax. Backers in other states may owe use tax (their responsibility). Income tax on any surplus is the company's responsibility and is shown as a reserve line.</t>
        </is>
      </c>
    </row>
    <row r="22">
      <c r="A22" s="2" t="inlineStr">
        <is>
          <t>Volume discounts on parts are MODELED (not quoted) and are labeled as such on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90" customWidth="1" min="4" max="4"/>
    <col width="10" customWidth="1" min="5" max="5"/>
    <col width="10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Status</t>
        </is>
      </c>
      <c r="D1" s="3" t="inlineStr">
        <is>
          <t>Basis / source</t>
        </is>
      </c>
      <c r="E1" s="3" t="inlineStr">
        <is>
          <t>Low</t>
        </is>
      </c>
      <c r="F1" s="3" t="inlineStr">
        <is>
          <t>High</t>
        </is>
      </c>
    </row>
    <row r="3">
      <c r="A3" s="4" t="inlineStr">
        <is>
          <t>A. Platform fees and collections</t>
        </is>
      </c>
    </row>
    <row r="4">
      <c r="A4" t="inlineStr">
        <is>
          <t>Kickstarter platform fee (% of collected pledges)</t>
        </is>
      </c>
      <c r="B4" s="5" t="n">
        <v>0.05</v>
      </c>
      <c r="C4" t="inlineStr">
        <is>
          <t>VERIFIED</t>
        </is>
      </c>
      <c r="D4" s="6" t="inlineStr">
        <is>
          <t>Kickstarter fees page (US): 5% of funds collected on successful projects</t>
        </is>
      </c>
    </row>
    <row r="5">
      <c r="A5" t="inlineStr">
        <is>
          <t>Payment processing fee (% of pledge)</t>
        </is>
      </c>
      <c r="B5" s="5" t="n">
        <v>0.03</v>
      </c>
      <c r="C5" t="inlineStr">
        <is>
          <t>VERIFIED</t>
        </is>
      </c>
      <c r="D5" s="6" t="inlineStr">
        <is>
          <t>Kickstarter fees page (US): 3% + $0.20 per pledge</t>
        </is>
      </c>
    </row>
    <row r="6">
      <c r="A6" t="inlineStr">
        <is>
          <t>Payment processing fixed fee per pledge ($)</t>
        </is>
      </c>
      <c r="B6" s="7" t="n">
        <v>0.2</v>
      </c>
      <c r="C6" t="inlineStr">
        <is>
          <t>VERIFIED</t>
        </is>
      </c>
      <c r="D6" s="6" t="inlineStr">
        <is>
          <t>Kickstarter fees page (US)</t>
        </is>
      </c>
    </row>
    <row r="7">
      <c r="A7" t="inlineStr">
        <is>
          <t>Dropped / failed pledges (% of pledged $)</t>
        </is>
      </c>
      <c r="B7" s="5" t="n">
        <v>0.03</v>
      </c>
      <c r="C7" t="inlineStr">
        <is>
          <t>ESTIMATE</t>
        </is>
      </c>
      <c r="D7" s="6" t="inlineStr">
        <is>
          <t>Typical reported range 1–5% for hardware; conservative 3% used</t>
        </is>
      </c>
      <c r="E7" s="8" t="n">
        <v>0.01</v>
      </c>
      <c r="F7" s="8" t="n">
        <v>0.05</v>
      </c>
    </row>
    <row r="8">
      <c r="A8" t="inlineStr">
        <is>
          <t>Days after campaign end until funds arrive</t>
        </is>
      </c>
      <c r="B8" s="9" t="n">
        <v>14</v>
      </c>
      <c r="C8" t="inlineStr">
        <is>
          <t>VERIFIED</t>
        </is>
      </c>
      <c r="D8" s="6" t="inlineStr">
        <is>
          <t>Kickstarter: funds transferred ~14 days after a successful campaign ends</t>
        </is>
      </c>
    </row>
    <row r="10">
      <c r="A10" s="4" t="inlineStr">
        <is>
          <t>B. Campaign design (PROPOSED)</t>
        </is>
      </c>
    </row>
    <row r="11">
      <c r="A11" t="inlineStr">
        <is>
          <t>Campaign length (days)</t>
        </is>
      </c>
      <c r="B11" s="9" t="n">
        <v>30</v>
      </c>
      <c r="C11" t="inlineStr">
        <is>
          <t>PROPOSED</t>
        </is>
      </c>
      <c r="D11" s="6" t="inlineStr">
        <is>
          <t>Kickstarter recommends 30 days or fewer; prelaunch page 4–6 weeks before</t>
        </is>
      </c>
    </row>
    <row r="12">
      <c r="A12" t="inlineStr">
        <is>
          <t>Planned launch date</t>
        </is>
      </c>
      <c r="B12" s="9" t="inlineStr">
        <is>
          <t>2027-01-19</t>
        </is>
      </c>
      <c r="C12" t="inlineStr">
        <is>
          <t>PROPOSED</t>
        </is>
      </c>
      <c r="D12" s="6" t="inlineStr">
        <is>
          <t>After holidays, inside the Oct–Mar planning season, before Northern Tool listing; allows Jan demo video</t>
        </is>
      </c>
    </row>
    <row r="13">
      <c r="A13" t="inlineStr">
        <is>
          <t>Minimum production batch the goal must fund (units)</t>
        </is>
      </c>
      <c r="B13" s="9" t="n">
        <v>10</v>
      </c>
      <c r="C13" t="inlineStr">
        <is>
          <t>PROPOSED</t>
        </is>
      </c>
      <c r="D13" s="6" t="inlineStr">
        <is>
          <t>Business plan (2026-09-15) sizes Kickstarter at 10–20 units; 10 = smallest sensible parts order</t>
        </is>
      </c>
      <c r="E13" t="n">
        <v>8</v>
      </c>
      <c r="F13" t="n">
        <v>15</v>
      </c>
    </row>
    <row r="15">
      <c r="A15" s="4" t="inlineStr">
        <is>
          <t>C. Reward prices and shipping (PROPOSED) — see Rewards sheet for inclusions</t>
        </is>
      </c>
    </row>
    <row r="16">
      <c r="A16" t="inlineStr">
        <is>
          <t>Tier 1 — Supporter (decal + backer wall) price</t>
        </is>
      </c>
      <c r="B16" s="10" t="n">
        <v>35</v>
      </c>
      <c r="C16" t="inlineStr">
        <is>
          <t>PROPOSED</t>
        </is>
      </c>
      <c r="D16" s="6" t="inlineStr">
        <is>
          <t>Low tier for friends/family/community; keeps backer count and social proof up</t>
        </is>
      </c>
    </row>
    <row r="17">
      <c r="A17" t="inlineStr">
        <is>
          <t>Tier 2 — Remote Control Kit (retrofit for Honda iGX390 electric-start pumps) price</t>
        </is>
      </c>
      <c r="B17" s="10" t="n">
        <v>1250</v>
      </c>
      <c r="C17" t="inlineStr">
        <is>
          <t>PROPOSED</t>
        </is>
      </c>
      <c r="D17" s="6" t="inlineStr">
        <is>
          <t>Harness + 2 rolling-code receivers + fob + relay/valve box; only for owners of a compatible pump (see compatibility note on Rewards)</t>
        </is>
      </c>
      <c r="E17" s="11" t="n">
        <v>995</v>
      </c>
      <c r="F17" s="11" t="n">
        <v>1495</v>
      </c>
    </row>
    <row r="18">
      <c r="A18" t="inlineStr">
        <is>
          <t>Tier 3 — DL3000 Early Bird price</t>
        </is>
      </c>
      <c r="B18" s="10" t="n">
        <v>4950</v>
      </c>
      <c r="C18" t="inlineStr">
        <is>
          <t>PROPOSED</t>
        </is>
      </c>
      <c r="D18" s="6" t="inlineStr">
        <is>
          <t>10% below $5,500 target MSRP; rewards first movers without undercutting Northern Tool MAP long term</t>
        </is>
      </c>
      <c r="E18" s="11" t="n">
        <v>4750</v>
      </c>
      <c r="F18" s="11" t="n">
        <v>5100</v>
      </c>
    </row>
    <row r="19">
      <c r="A19" t="inlineStr">
        <is>
          <t>Tier 4 — DL3000 Kickstarter price</t>
        </is>
      </c>
      <c r="B19" s="10" t="n">
        <v>5250</v>
      </c>
      <c r="C19" t="inlineStr">
        <is>
          <t>PROPOSED</t>
        </is>
      </c>
      <c r="D19" s="6" t="inlineStr">
        <is>
          <t>~4.5% below target MSRP $5,500</t>
        </is>
      </c>
      <c r="E19" s="11" t="n">
        <v>5100</v>
      </c>
      <c r="F19" s="11" t="n">
        <v>5500</v>
      </c>
    </row>
    <row r="20">
      <c r="A20" t="inlineStr">
        <is>
          <t>Tier 5 — DL3000 + Hose &amp; Nozzle Package price</t>
        </is>
      </c>
      <c r="B20" s="10" t="n">
        <v>5900</v>
      </c>
      <c r="C20" t="inlineStr">
        <is>
          <t>PROPOSED</t>
        </is>
      </c>
      <c r="D20" s="6" t="inlineStr">
        <is>
          <t>Pump + 2 in. discharge hose (50 ft), adjustable nozzle, suction hose, strainer, spare fob</t>
        </is>
      </c>
      <c r="E20" s="11" t="n">
        <v>5750</v>
      </c>
      <c r="F20" s="11" t="n">
        <v>6100</v>
      </c>
    </row>
    <row r="21">
      <c r="A21" t="inlineStr">
        <is>
          <t>Shipping charged to backer per pump (US contiguous, LTL freight to residential w/ liftgate)</t>
        </is>
      </c>
      <c r="B21" s="10" t="n">
        <v>349</v>
      </c>
      <c r="C21" t="inlineStr">
        <is>
          <t>ESTIMATE</t>
        </is>
      </c>
      <c r="D21" s="6" t="inlineStr">
        <is>
          <t>Palletized ~180 lb crate; LTL residential+liftgate quotes typically $250–$450 from Bend OR</t>
        </is>
      </c>
      <c r="E21" s="11" t="n">
        <v>250</v>
      </c>
      <c r="F21" s="11" t="n">
        <v>450</v>
      </c>
    </row>
    <row r="22">
      <c r="A22" t="inlineStr">
        <is>
          <t>Shipping charged per Remote Control Kit (UPS Ground)</t>
        </is>
      </c>
      <c r="B22" s="10" t="n">
        <v>25</v>
      </c>
      <c r="C22" t="inlineStr">
        <is>
          <t>ESTIMATE</t>
        </is>
      </c>
      <c r="D22" s="6" t="inlineStr">
        <is>
          <t>~8 lb box</t>
        </is>
      </c>
      <c r="E22" s="11" t="n">
        <v>18</v>
      </c>
      <c r="F22" s="11" t="n">
        <v>35</v>
      </c>
    </row>
    <row r="23">
      <c r="A23" t="inlineStr">
        <is>
          <t>Shipping charged per Supporter tier (USPS)</t>
        </is>
      </c>
      <c r="B23" s="10" t="n">
        <v>0</v>
      </c>
      <c r="C23" t="inlineStr">
        <is>
          <t>PROPOSED</t>
        </is>
      </c>
      <c r="D23" s="6" t="inlineStr">
        <is>
          <t>Decal mailed first-class; cost absorbed</t>
        </is>
      </c>
    </row>
    <row r="25">
      <c r="A25" s="4" t="inlineStr">
        <is>
          <t>D. Actual shipping cost paid by Wildfire Watchdog</t>
        </is>
      </c>
    </row>
    <row r="26">
      <c r="A26" t="inlineStr">
        <is>
          <t>Actual freight cost per pump (crate + LTL residential + liftgate)</t>
        </is>
      </c>
      <c r="B26" s="10" t="n">
        <v>380</v>
      </c>
      <c r="C26" t="inlineStr">
        <is>
          <t>ESTIMATE</t>
        </is>
      </c>
      <c r="D26" s="6" t="inlineStr">
        <is>
          <t>Includes ~$60 crate materials; verify with 2 LTL quotes before launch</t>
        </is>
      </c>
      <c r="E26" s="11" t="n">
        <v>300</v>
      </c>
      <c r="F26" s="11" t="n">
        <v>500</v>
      </c>
    </row>
    <row r="27">
      <c r="A27" t="inlineStr">
        <is>
          <t>Actual shipping cost per kit</t>
        </is>
      </c>
      <c r="B27" s="10" t="n">
        <v>22</v>
      </c>
      <c r="C27" t="inlineStr">
        <is>
          <t>ESTIMATE</t>
        </is>
      </c>
      <c r="D27" s="6" t="inlineStr">
        <is>
          <t>UPS Ground 8 lb, box</t>
        </is>
      </c>
      <c r="E27" s="11" t="n">
        <v>15</v>
      </c>
      <c r="F27" s="11" t="n">
        <v>30</v>
      </c>
    </row>
    <row r="28">
      <c r="A28" t="inlineStr">
        <is>
          <t>Actual mailing cost per supporter reward</t>
        </is>
      </c>
      <c r="B28" s="7" t="n">
        <v>2.5</v>
      </c>
      <c r="C28" t="inlineStr">
        <is>
          <t>ESTIMATE</t>
        </is>
      </c>
      <c r="D28" s="6" t="inlineStr">
        <is>
          <t>First-class envelope + decal</t>
        </is>
      </c>
      <c r="E28" s="12" t="n">
        <v>1.5</v>
      </c>
      <c r="F28" s="12" t="n">
        <v>4</v>
      </c>
    </row>
    <row r="30">
      <c r="A30" s="4" t="inlineStr">
        <is>
          <t>E. Per-unit DL3000 parts (Base = 10-unit pricing). Volume discounts are MODELED, not quoted.</t>
        </is>
      </c>
    </row>
    <row r="31">
      <c r="A31" t="inlineStr">
        <is>
          <t>Honda iGX390 electric-start engine (with 12V charging coil)</t>
        </is>
      </c>
      <c r="B31" s="10" t="n">
        <v>1150</v>
      </c>
      <c r="C31" t="inlineStr">
        <is>
          <t>ESTIMATE</t>
        </is>
      </c>
      <c r="D31" s="6" t="inlineStr">
        <is>
          <t>Retail iGX390 ES lists ~$1,100–$1,300 at US dealers; no dealer quote on file yet</t>
        </is>
      </c>
      <c r="E31" s="11" t="n">
        <v>1050</v>
      </c>
      <c r="F31" s="11" t="n">
        <v>1300</v>
      </c>
    </row>
    <row r="32">
      <c r="A32" t="inlineStr">
        <is>
          <t>High-pressure pump end (2 in./3 in., matched to iGX390)</t>
        </is>
      </c>
      <c r="B32" s="10" t="n">
        <v>260</v>
      </c>
      <c r="C32" t="inlineStr">
        <is>
          <t>ESTIMATE</t>
        </is>
      </c>
      <c r="D32" s="6" t="inlineStr">
        <is>
          <t>Business plan 2026-09-15 lists $130 imported at 50 units; single-unit purchase pricing is higher</t>
        </is>
      </c>
      <c r="E32" s="11" t="n">
        <v>130</v>
      </c>
      <c r="F32" s="11" t="n">
        <v>350</v>
      </c>
    </row>
    <row r="33">
      <c r="A33" t="inlineStr">
        <is>
          <t>Frame / skid / roll cage (steel, powder coat)</t>
        </is>
      </c>
      <c r="B33" s="10" t="n">
        <v>260</v>
      </c>
      <c r="C33" t="inlineStr">
        <is>
          <t>ESTIMATE</t>
        </is>
      </c>
      <c r="D33" s="6" t="inlineStr">
        <is>
          <t>Business plan: $220 at 50 units; small batch local fab higher</t>
        </is>
      </c>
      <c r="E33" s="11" t="n">
        <v>200</v>
      </c>
      <c r="F33" s="11" t="n">
        <v>350</v>
      </c>
    </row>
    <row r="34">
      <c r="A34" t="inlineStr">
        <is>
          <t>RF remote system: 2× Solidremote 202U kits (4 fobs), 3 relays, Deutsch 6-pin, fuses, wire, switches, enclosure</t>
        </is>
      </c>
      <c r="B34" s="10" t="n">
        <v>190</v>
      </c>
      <c r="C34" t="inlineStr">
        <is>
          <t>ESTIMATE</t>
        </is>
      </c>
      <c r="D34" s="6" t="inlineStr">
        <is>
          <t>Briefing 2026-09-10 parts list; business plan: $140 at 50 units</t>
        </is>
      </c>
      <c r="E34" s="11" t="n">
        <v>140</v>
      </c>
      <c r="F34" s="11" t="n">
        <v>240</v>
      </c>
    </row>
    <row r="35">
      <c r="A35" t="inlineStr">
        <is>
          <t>2 in. 12V spring-return electric ball valve + float valve + camlock fittings</t>
        </is>
      </c>
      <c r="B35" s="10" t="n">
        <v>230</v>
      </c>
      <c r="C35" t="inlineStr">
        <is>
          <t>ESTIMATE</t>
        </is>
      </c>
      <c r="D35" s="6" t="inlineStr">
        <is>
          <t>Business plan: $180 at 50 units; spring-return actuators are the cost driver</t>
        </is>
      </c>
      <c r="E35" s="11" t="n">
        <v>180</v>
      </c>
      <c r="F35" s="11" t="n">
        <v>300</v>
      </c>
    </row>
    <row r="36">
      <c r="A36" t="inlineStr">
        <is>
          <t>12V battery, USB power bank, solar maintainer, cabling</t>
        </is>
      </c>
      <c r="B36" s="10" t="n">
        <v>140</v>
      </c>
      <c r="C36" t="inlineStr">
        <is>
          <t>ESTIMATE</t>
        </is>
      </c>
      <c r="D36" s="6" t="inlineStr">
        <is>
          <t>Business plan: $120 at 50 units</t>
        </is>
      </c>
      <c r="E36" s="11" t="n">
        <v>100</v>
      </c>
      <c r="F36" s="11" t="n">
        <v>180</v>
      </c>
    </row>
    <row r="37">
      <c r="A37" t="inlineStr">
        <is>
          <t>Assembly + test labor per unit (hours × rate)</t>
        </is>
      </c>
      <c r="B37" s="10" t="n">
        <v>240</v>
      </c>
      <c r="C37" t="inlineStr">
        <is>
          <t>ESTIMATE</t>
        </is>
      </c>
      <c r="D37" s="6" t="inlineStr">
        <is>
          <t>~6 h per unit in small batch (founder + helper) × $40/h loaded; business plan assumes 3 h subcontracted at 50+</t>
        </is>
      </c>
      <c r="E37" s="11" t="n">
        <v>160</v>
      </c>
      <c r="F37" s="11" t="n">
        <v>320</v>
      </c>
    </row>
    <row r="38">
      <c r="A38" t="inlineStr">
        <is>
          <t>Quality check: wet test fuel, consumables, labels, manual printing</t>
        </is>
      </c>
      <c r="B38" s="10" t="n">
        <v>45</v>
      </c>
      <c r="C38" t="inlineStr">
        <is>
          <t>ESTIMATE</t>
        </is>
      </c>
      <c r="D38" s="6" t="inlineStr">
        <is>
          <t>Fuel for 30-min wet test, oil, warning labels, printed quick-start guide</t>
        </is>
      </c>
      <c r="E38" s="11" t="n">
        <v>30</v>
      </c>
      <c r="F38" s="11" t="n">
        <v>70</v>
      </c>
    </row>
    <row r="39">
      <c r="A39" t="inlineStr">
        <is>
          <t>Packaging: pallet, crate, straps, foam (excluding freight)</t>
        </is>
      </c>
      <c r="B39" s="10" t="n">
        <v>0</v>
      </c>
      <c r="C39" t="inlineStr">
        <is>
          <t>ESTIMATE</t>
        </is>
      </c>
      <c r="D39" s="6" t="inlineStr">
        <is>
          <t>Included in actual freight line above to avoid double counting</t>
        </is>
      </c>
    </row>
    <row r="40">
      <c r="A40" t="inlineStr">
        <is>
          <t>Warranty reserve per pump (% of reward price basis, applied as $)</t>
        </is>
      </c>
      <c r="B40" s="10" t="n">
        <v>150</v>
      </c>
      <c r="C40" t="inlineStr">
        <is>
          <t>ESTIMATE</t>
        </is>
      </c>
      <c r="D40" s="6" t="inlineStr">
        <is>
          <t>~3% of price, per business plan practice (3%)</t>
        </is>
      </c>
      <c r="E40" s="11" t="n">
        <v>100</v>
      </c>
      <c r="F40" s="11" t="n">
        <v>250</v>
      </c>
    </row>
    <row r="41">
      <c r="A41" t="inlineStr">
        <is>
          <t>Hose &amp; Nozzle Package parts cost (2 in. × 50 ft hose, nozzle, suction hose, strainer, spare fob)</t>
        </is>
      </c>
      <c r="B41" s="10" t="n">
        <v>420</v>
      </c>
      <c r="C41" t="inlineStr">
        <is>
          <t>ESTIMATE</t>
        </is>
      </c>
      <c r="D41" s="6" t="inlineStr">
        <is>
          <t>Commodity fire hose $180–$250, nozzle $60–$120, suction kit $80–$120, fob $25</t>
        </is>
      </c>
      <c r="E41" s="11" t="n">
        <v>340</v>
      </c>
      <c r="F41" s="11" t="n">
        <v>520</v>
      </c>
    </row>
    <row r="42">
      <c r="A42" t="inlineStr">
        <is>
          <t>Remote Control Kit parts cost (harness, 2 receivers, fob, relays, valve actuator, enclosure) + 2 h labor</t>
        </is>
      </c>
      <c r="B42" s="10" t="n">
        <v>470</v>
      </c>
      <c r="C42" t="inlineStr">
        <is>
          <t>ESTIMATE</t>
        </is>
      </c>
      <c r="D42" s="6" t="inlineStr">
        <is>
          <t>Remote parts $190 + valve actuator $180 + labor $80 + labels/manual $20</t>
        </is>
      </c>
      <c r="E42" s="11" t="n">
        <v>380</v>
      </c>
      <c r="F42" s="11" t="n">
        <v>560</v>
      </c>
    </row>
    <row r="43">
      <c r="A43" t="inlineStr">
        <is>
          <t>Supporter reward cost (decal, printing)</t>
        </is>
      </c>
      <c r="B43" s="7" t="n">
        <v>3</v>
      </c>
      <c r="C43" t="inlineStr">
        <is>
          <t>ESTIMATE</t>
        </is>
      </c>
      <c r="D43" s="6" t="inlineStr">
        <is>
          <t>Vinyl decal $1–$2 + backer wall = website page</t>
        </is>
      </c>
      <c r="E43" s="12" t="n">
        <v>1</v>
      </c>
      <c r="F43" s="12" t="n">
        <v>5</v>
      </c>
    </row>
    <row r="44">
      <c r="A44" t="inlineStr">
        <is>
          <t>Modeled parts discount at 20+ units (%)</t>
        </is>
      </c>
      <c r="B44" s="5" t="n">
        <v>0.08</v>
      </c>
      <c r="C44" t="inlineStr">
        <is>
          <t>ESTIMATE</t>
        </is>
      </c>
      <c r="D44" s="6" t="inlineStr">
        <is>
          <t>MODELED, NOT QUOTED. Business plan shows ~15% from 50→150 units; 8% assumed for 10→20+</t>
        </is>
      </c>
      <c r="E44" s="8" t="n">
        <v>0</v>
      </c>
      <c r="F44" s="8" t="n">
        <v>0.12</v>
      </c>
    </row>
    <row r="45">
      <c r="A45" t="inlineStr">
        <is>
          <t>Conservative scenario cost overrun (%)</t>
        </is>
      </c>
      <c r="B45" s="5" t="n">
        <v>0.15</v>
      </c>
      <c r="C45" t="inlineStr">
        <is>
          <t>ESTIMATE</t>
        </is>
      </c>
      <c r="D45" s="6" t="inlineStr">
        <is>
          <t>Stress factor applied to all parts + labor</t>
        </is>
      </c>
      <c r="E45" s="8" t="n">
        <v>0.1</v>
      </c>
      <c r="F45" s="8" t="n">
        <v>0.3</v>
      </c>
    </row>
    <row r="47">
      <c r="A47" s="4" t="inlineStr">
        <is>
          <t>F. One-time campaign and production costs (before or during fulfillment)</t>
        </is>
      </c>
    </row>
    <row r="48">
      <c r="A48" t="inlineStr">
        <is>
          <t>Product/general liability insurance, year 1</t>
        </is>
      </c>
      <c r="B48" s="10" t="n">
        <v>4598</v>
      </c>
      <c r="C48" t="inlineStr">
        <is>
          <t>VERIFIED</t>
        </is>
      </c>
      <c r="D48" s="6" t="inlineStr">
        <is>
          <t>Kinsale GL quote 2026-09-01 #07520376: $4,597.91 paid in full ($1M/$2M). Not yet bound. Alternative StarStone quote $10,598 ($2M/$4M)</t>
        </is>
      </c>
      <c r="E48" s="11" t="n">
        <v>4598</v>
      </c>
      <c r="F48" s="11" t="n">
        <v>10598</v>
      </c>
    </row>
    <row r="49">
      <c r="A49" t="inlineStr">
        <is>
          <t>FCC Supplier's Declaration of Conformity (host device with pre-certified modules)</t>
        </is>
      </c>
      <c r="B49" s="10" t="n">
        <v>2500</v>
      </c>
      <c r="C49" t="inlineStr">
        <is>
          <t>ESTIMATE</t>
        </is>
      </c>
      <c r="D49" s="6" t="inlineStr">
        <is>
          <t>Briefing 2026-09-10: SDoC path ~$1K–$5K</t>
        </is>
      </c>
      <c r="E49" s="11" t="n">
        <v>1000</v>
      </c>
      <c r="F49" s="11" t="n">
        <v>5000</v>
      </c>
    </row>
    <row r="50">
      <c r="A50" t="inlineStr">
        <is>
          <t>Engineering validation: flow/pressure test with calibrated gauge &amp; flow meter, failsafe timing test, 3rd-party review of harness</t>
        </is>
      </c>
      <c r="B50" s="10" t="n">
        <v>1500</v>
      </c>
      <c r="C50" t="inlineStr">
        <is>
          <t>ESTIMATE</t>
        </is>
      </c>
      <c r="D50" s="6" t="inlineStr">
        <is>
          <t>Flow meter + gauges ~$400, test fixture, 1 day outside review</t>
        </is>
      </c>
      <c r="E50" s="11" t="n">
        <v>800</v>
      </c>
      <c r="F50" s="11" t="n">
        <v>3000</v>
      </c>
    </row>
    <row r="51">
      <c r="A51" t="inlineStr">
        <is>
          <t>Assembly fixtures, crimp tools, crate template, labels design</t>
        </is>
      </c>
      <c r="B51" s="10" t="n">
        <v>1200</v>
      </c>
      <c r="C51" t="inlineStr">
        <is>
          <t>ESTIMATE</t>
        </is>
      </c>
      <c r="D51" s="6" t="inlineStr">
        <is>
          <t>Business plan: $5,000 for storage/jigs/QC tools at 50 units; scaled to 10–20</t>
        </is>
      </c>
      <c r="E51" s="11" t="n">
        <v>800</v>
      </c>
      <c r="F51" s="11" t="n">
        <v>2500</v>
      </c>
    </row>
    <row r="52">
      <c r="A52" t="inlineStr">
        <is>
          <t>Campaign video &amp; photos (self-shot; gimbal/mic/lights, editing)</t>
        </is>
      </c>
      <c r="B52" s="10" t="n">
        <v>500</v>
      </c>
      <c r="C52" t="inlineStr">
        <is>
          <t>ESTIMATE</t>
        </is>
      </c>
      <c r="D52" s="6" t="inlineStr">
        <is>
          <t>Business plan: ~$500 one-time for demo video</t>
        </is>
      </c>
      <c r="E52" s="11" t="n">
        <v>200</v>
      </c>
      <c r="F52" s="11" t="n">
        <v>1500</v>
      </c>
    </row>
    <row r="53">
      <c r="A53" t="inlineStr">
        <is>
          <t>Warranty, terms of sale and backer agreement review (attorney, 2–3 h)</t>
        </is>
      </c>
      <c r="B53" s="10" t="n">
        <v>900</v>
      </c>
      <c r="C53" t="inlineStr">
        <is>
          <t>ESTIMATE</t>
        </is>
      </c>
      <c r="D53" s="6" t="inlineStr">
        <is>
          <t>Optional but recommended; in-house drafts prepared</t>
        </is>
      </c>
      <c r="E53" s="11" t="n">
        <v>0</v>
      </c>
      <c r="F53" s="11" t="n">
        <v>2500</v>
      </c>
    </row>
    <row r="54">
      <c r="A54" t="inlineStr">
        <is>
          <t>USPTO non-provisional filing (micro entity, self-filed) — due 2027-01-11</t>
        </is>
      </c>
      <c r="B54" s="10" t="n">
        <v>1500</v>
      </c>
      <c r="C54" t="inlineStr">
        <is>
          <t>ESTIMATE</t>
        </is>
      </c>
      <c r="D54" s="6" t="inlineStr">
        <is>
          <t>Business plan 2026-09-15 line item; NOT a Kickstarter delivery cost, listed as use-of-funds option</t>
        </is>
      </c>
      <c r="E54" s="11" t="n">
        <v>1000</v>
      </c>
      <c r="F54" s="11" t="n">
        <v>4000</v>
      </c>
    </row>
    <row r="55">
      <c r="A55" t="inlineStr">
        <is>
          <t>Optional paid advertising during campaign (separately costed; can be $0)</t>
        </is>
      </c>
      <c r="B55" s="10" t="n">
        <v>1500</v>
      </c>
      <c r="C55" t="inlineStr">
        <is>
          <t>PROPOSED</t>
        </is>
      </c>
      <c r="D55" s="6" t="inlineStr">
        <is>
          <t>See marketing plan: $0 organic path + optional $1,500 Meta test; not required for goal</t>
        </is>
      </c>
      <c r="E55" s="11" t="n">
        <v>0</v>
      </c>
      <c r="F55" s="11" t="n">
        <v>5000</v>
      </c>
    </row>
    <row r="56">
      <c r="A56" t="inlineStr">
        <is>
          <t>Software/support tools (email service, backer survey tool, domain) for 6 months</t>
        </is>
      </c>
      <c r="B56" s="10" t="n">
        <v>240</v>
      </c>
      <c r="C56" t="inlineStr">
        <is>
          <t>ESTIMATE</t>
        </is>
      </c>
      <c r="D56" s="6" t="inlineStr">
        <is>
          <t>$30–$40/month</t>
        </is>
      </c>
      <c r="E56" s="11" t="n">
        <v>120</v>
      </c>
      <c r="F56" s="11" t="n">
        <v>400</v>
      </c>
    </row>
    <row r="57">
      <c r="A57" t="inlineStr">
        <is>
          <t>Contingency (% of one-time + per-unit costs)</t>
        </is>
      </c>
      <c r="B57" s="5" t="n">
        <v>0.1</v>
      </c>
      <c r="C57" t="inlineStr">
        <is>
          <t>PROPOSED</t>
        </is>
      </c>
      <c r="D57" s="6" t="inlineStr">
        <is>
          <t>Standard 10% hardware contingency</t>
        </is>
      </c>
      <c r="E57" s="8" t="n">
        <v>0.05</v>
      </c>
      <c r="F57" s="8" t="n">
        <v>0.2</v>
      </c>
    </row>
    <row r="58">
      <c r="A58" t="inlineStr">
        <is>
          <t>Income tax reserve on surplus (%)</t>
        </is>
      </c>
      <c r="B58" s="5" t="n">
        <v>0.25</v>
      </c>
      <c r="C58" t="inlineStr">
        <is>
          <t>ESTIMATE</t>
        </is>
      </c>
      <c r="D58" s="6" t="inlineStr">
        <is>
          <t>Single-member LLC pass-through; federal + Oregon combined estimate</t>
        </is>
      </c>
      <c r="E58" s="8" t="n">
        <v>0.2</v>
      </c>
      <c r="F58" s="8" t="n">
        <v>0.35</v>
      </c>
    </row>
    <row r="60">
      <c r="A60" s="4" t="inlineStr">
        <is>
          <t>G. Backer mix — Conservative / Base / Optimistic (units per tier)</t>
        </is>
      </c>
    </row>
    <row r="61">
      <c r="A61" t="inlineStr">
        <is>
          <t>Tier 1 Supporter backers</t>
        </is>
      </c>
      <c r="B61" s="9" t="n">
        <v>80</v>
      </c>
      <c r="C61" t="inlineStr">
        <is>
          <t>PROPOSED</t>
        </is>
      </c>
      <c r="D61" s="6" t="inlineStr">
        <is>
          <t>Column B = Base, E = Conservative, F = Optimistic. Pump tiers sized to business-plan Kickstarter target of 10–20 pumps.</t>
        </is>
      </c>
      <c r="E61" s="9" t="n">
        <v>40</v>
      </c>
      <c r="F61" s="9" t="n">
        <v>150</v>
      </c>
    </row>
    <row r="62">
      <c r="A62" t="inlineStr">
        <is>
          <t>Tier 2 Remote Control Kit backers</t>
        </is>
      </c>
      <c r="B62" s="9" t="n">
        <v>5</v>
      </c>
      <c r="C62" t="inlineStr">
        <is>
          <t>PROPOSED</t>
        </is>
      </c>
      <c r="D62" s="6" t="inlineStr">
        <is>
          <t>Column B = Base, E = Conservative, F = Optimistic. Pump tiers sized to business-plan Kickstarter target of 10–20 pumps.</t>
        </is>
      </c>
      <c r="E62" s="9" t="n">
        <v>2</v>
      </c>
      <c r="F62" s="9" t="n">
        <v>10</v>
      </c>
    </row>
    <row r="63">
      <c r="A63" t="inlineStr">
        <is>
          <t>Tier 3 DL3000 Early Bird backers (cap 10)</t>
        </is>
      </c>
      <c r="B63" s="9" t="n">
        <v>10</v>
      </c>
      <c r="C63" t="inlineStr">
        <is>
          <t>PROPOSED</t>
        </is>
      </c>
      <c r="D63" s="6" t="inlineStr">
        <is>
          <t>Column B = Base, E = Conservative, F = Optimistic. Pump tiers sized to business-plan Kickstarter target of 10–20 pumps.</t>
        </is>
      </c>
      <c r="E63" s="9" t="n">
        <v>5</v>
      </c>
      <c r="F63" s="9" t="n">
        <v>10</v>
      </c>
    </row>
    <row r="64">
      <c r="A64" t="inlineStr">
        <is>
          <t>Tier 4 DL3000 Kickstarter price backers</t>
        </is>
      </c>
      <c r="B64" s="9" t="n">
        <v>5</v>
      </c>
      <c r="C64" t="inlineStr">
        <is>
          <t>PROPOSED</t>
        </is>
      </c>
      <c r="D64" s="6" t="inlineStr">
        <is>
          <t>Column B = Base, E = Conservative, F = Optimistic. Pump tiers sized to business-plan Kickstarter target of 10–20 pumps.</t>
        </is>
      </c>
      <c r="E64" s="9" t="n">
        <v>2</v>
      </c>
      <c r="F64" s="9" t="n">
        <v>12</v>
      </c>
    </row>
    <row r="65">
      <c r="A65" t="inlineStr">
        <is>
          <t>Tier 5 DL3000 + Hose package backers</t>
        </is>
      </c>
      <c r="B65" s="9" t="n">
        <v>3</v>
      </c>
      <c r="C65" t="inlineStr">
        <is>
          <t>PROPOSED</t>
        </is>
      </c>
      <c r="D65" s="6" t="inlineStr">
        <is>
          <t>Column B = Base, E = Conservative, F = Optimistic. Pump tiers sized to business-plan Kickstarter target of 10–20 pumps.</t>
        </is>
      </c>
      <c r="E65" s="9" t="n">
        <v>1</v>
      </c>
      <c r="F65" s="9" t="n">
        <v>6</v>
      </c>
    </row>
    <row r="67">
      <c r="A67" s="4" t="inlineStr">
        <is>
          <t>H. Capacity and timing</t>
        </is>
      </c>
    </row>
    <row r="68">
      <c r="A68" t="inlineStr">
        <is>
          <t>Founder assembly hours available per week</t>
        </is>
      </c>
      <c r="B68" s="9" t="n">
        <v>25</v>
      </c>
      <c r="C68" t="inlineStr">
        <is>
          <t>ESTIMATE</t>
        </is>
      </c>
      <c r="D68" s="6" t="inlineStr">
        <is>
          <t>Part-time alongside other work</t>
        </is>
      </c>
      <c r="E68" t="n">
        <v>15</v>
      </c>
      <c r="F68" t="n">
        <v>40</v>
      </c>
    </row>
    <row r="69">
      <c r="A69" t="inlineStr">
        <is>
          <t>Hours per pump (assembly + wet test + crate)</t>
        </is>
      </c>
      <c r="B69" s="9" t="n">
        <v>6</v>
      </c>
      <c r="C69" t="inlineStr">
        <is>
          <t>ESTIMATE</t>
        </is>
      </c>
      <c r="D69" s="6" t="inlineStr">
        <is>
          <t>Small-batch, founder-built; falls to ~3 h with jigs/subcontract</t>
        </is>
      </c>
      <c r="E69" t="n">
        <v>4</v>
      </c>
      <c r="F69" t="n">
        <v>9</v>
      </c>
    </row>
    <row r="70">
      <c r="A70" t="inlineStr">
        <is>
          <t>Engine + pump-end lead time after order (weeks)</t>
        </is>
      </c>
      <c r="B70" s="9" t="n">
        <v>3</v>
      </c>
      <c r="C70" t="inlineStr">
        <is>
          <t>ESTIMATE</t>
        </is>
      </c>
      <c r="D70" s="6" t="inlineStr">
        <is>
          <t>Honda iGX390 stocked by US distributors; pump ends 2–6 weeks</t>
        </is>
      </c>
      <c r="E70" t="n">
        <v>2</v>
      </c>
      <c r="F70" t="n">
        <v>8</v>
      </c>
    </row>
    <row r="71">
      <c r="A71" t="inlineStr">
        <is>
          <t>Supplier deposit required before Kickstarter payout (% of parts)</t>
        </is>
      </c>
      <c r="B71" s="5" t="n">
        <v>0</v>
      </c>
      <c r="C71" t="inlineStr">
        <is>
          <t>PROPOSED</t>
        </is>
      </c>
      <c r="D71" s="6" t="inlineStr">
        <is>
          <t>Path that minimises cash: order engines/parts only after payout (day ~14). Set &gt;0 to model pre-ordering</t>
        </is>
      </c>
      <c r="E71" s="8" t="n">
        <v>0</v>
      </c>
      <c r="F71" s="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2" customWidth="1" min="3" max="3"/>
    <col width="30" customWidth="1" min="4" max="4"/>
    <col width="60" customWidth="1" min="5" max="5"/>
  </cols>
  <sheetData>
    <row r="1">
      <c r="A1" s="3" t="inlineStr">
        <is>
          <t>DL3000 per-unit cost</t>
        </is>
      </c>
      <c r="B1" s="3" t="inlineStr">
        <is>
          <t>Base (10 units)</t>
        </is>
      </c>
      <c r="C1" s="3" t="inlineStr">
        <is>
          <t>Conservative (+overrun)</t>
        </is>
      </c>
      <c r="D1" s="3" t="inlineStr">
        <is>
          <t>Optimistic (20+ units, modeled discount)</t>
        </is>
      </c>
      <c r="E1" s="3" t="inlineStr">
        <is>
          <t>Notes</t>
        </is>
      </c>
    </row>
    <row r="2">
      <c r="A2" t="inlineStr">
        <is>
          <t>Engine</t>
        </is>
      </c>
      <c r="B2" s="11">
        <f>c_engine</f>
        <v/>
      </c>
      <c r="C2" s="11">
        <f>c_engine*(1+cost_over)</f>
        <v/>
      </c>
      <c r="D2" s="11">
        <f>c_engine*(1-vol_disc)</f>
        <v/>
      </c>
    </row>
    <row r="3">
      <c r="A3" t="inlineStr">
        <is>
          <t>Pump end</t>
        </is>
      </c>
      <c r="B3" s="11">
        <f>c_pumpend</f>
        <v/>
      </c>
      <c r="C3" s="11">
        <f>c_pumpend*(1+cost_over)</f>
        <v/>
      </c>
      <c r="D3" s="11">
        <f>c_pumpend*(1-vol_disc)</f>
        <v/>
      </c>
    </row>
    <row r="4">
      <c r="A4" t="inlineStr">
        <is>
          <t>Frame / skid</t>
        </is>
      </c>
      <c r="B4" s="11">
        <f>c_frame</f>
        <v/>
      </c>
      <c r="C4" s="11">
        <f>c_frame*(1+cost_over)</f>
        <v/>
      </c>
      <c r="D4" s="11">
        <f>c_frame*(1-vol_disc)</f>
        <v/>
      </c>
    </row>
    <row r="5">
      <c r="A5" t="inlineStr">
        <is>
          <t>RF remote system</t>
        </is>
      </c>
      <c r="B5" s="11">
        <f>c_remote</f>
        <v/>
      </c>
      <c r="C5" s="11">
        <f>c_remote*(1+cost_over)</f>
        <v/>
      </c>
      <c r="D5" s="11">
        <f>c_remote*(1-vol_disc)</f>
        <v/>
      </c>
    </row>
    <row r="6">
      <c r="A6" t="inlineStr">
        <is>
          <t>Valve, float, camlock</t>
        </is>
      </c>
      <c r="B6" s="11">
        <f>c_valve</f>
        <v/>
      </c>
      <c r="C6" s="11">
        <f>c_valve*(1+cost_over)</f>
        <v/>
      </c>
      <c r="D6" s="11">
        <f>c_valve*(1-vol_disc)</f>
        <v/>
      </c>
    </row>
    <row r="7">
      <c r="A7" t="inlineStr">
        <is>
          <t>Battery / power</t>
        </is>
      </c>
      <c r="B7" s="11">
        <f>c_power</f>
        <v/>
      </c>
      <c r="C7" s="11">
        <f>c_power*(1+cost_over)</f>
        <v/>
      </c>
      <c r="D7" s="11">
        <f>c_power*(1-vol_disc)</f>
        <v/>
      </c>
    </row>
    <row r="8">
      <c r="A8" t="inlineStr">
        <is>
          <t>Assembly + test labor</t>
        </is>
      </c>
      <c r="B8" s="11">
        <f>c_labor</f>
        <v/>
      </c>
      <c r="C8" s="11">
        <f>c_labor*(1+cost_over)</f>
        <v/>
      </c>
      <c r="D8" s="11">
        <f>c_labor</f>
        <v/>
      </c>
      <c r="E8" s="6" t="inlineStr">
        <is>
          <t>Labor/QC/warranty not discounted at volume</t>
        </is>
      </c>
    </row>
    <row r="9">
      <c r="A9" t="inlineStr">
        <is>
          <t>QC consumables, labels, manual</t>
        </is>
      </c>
      <c r="B9" s="11">
        <f>c_qc</f>
        <v/>
      </c>
      <c r="C9" s="11">
        <f>c_qc*(1+cost_over)</f>
        <v/>
      </c>
      <c r="D9" s="11">
        <f>c_qc</f>
        <v/>
      </c>
      <c r="E9" s="6" t="inlineStr">
        <is>
          <t>Labor/QC/warranty not discounted at volume</t>
        </is>
      </c>
    </row>
    <row r="10">
      <c r="A10" t="inlineStr">
        <is>
          <t>Packaging (see freight)</t>
        </is>
      </c>
      <c r="B10" s="11">
        <f>c_pack</f>
        <v/>
      </c>
      <c r="C10" s="11">
        <f>c_pack*(1+cost_over)</f>
        <v/>
      </c>
      <c r="D10" s="11">
        <f>c_pack*(1-vol_disc)</f>
        <v/>
      </c>
    </row>
    <row r="11">
      <c r="A11" t="inlineStr">
        <is>
          <t>Warranty reserve</t>
        </is>
      </c>
      <c r="B11" s="11">
        <f>c_warr</f>
        <v/>
      </c>
      <c r="C11" s="11">
        <f>c_warr*(1+cost_over)</f>
        <v/>
      </c>
      <c r="D11" s="11">
        <f>c_warr</f>
        <v/>
      </c>
      <c r="E11" s="6" t="inlineStr">
        <is>
          <t>Labor/QC/warranty not discounted at volume</t>
        </is>
      </c>
    </row>
    <row r="12">
      <c r="A12" s="4" t="inlineStr">
        <is>
          <t>TOTAL per-unit cost (ex freight)</t>
        </is>
      </c>
      <c r="B12" s="13">
        <f>SUM(B2:B11)</f>
        <v/>
      </c>
      <c r="C12" s="13">
        <f>SUM(C2:C11)</f>
        <v/>
      </c>
      <c r="D12" s="13">
        <f>SUM(D2:D11)</f>
        <v/>
      </c>
    </row>
    <row r="14">
      <c r="A14" s="6" t="inlineStr">
        <is>
          <t>Reference: business plan 2026-09-15 estimated $1,700/unit at 50 units (NorthStar e420 engine) and line sheet 2026-08-25 stated ~$2,000 COGS (Honda iGX390). This model uses Honda iGX390 at 10-unit pricing, which is why Base is higher.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2" customWidth="1" min="11" max="11"/>
    <col width="9" customWidth="1" min="12" max="12"/>
    <col width="14" customWidth="1" min="13" max="13"/>
  </cols>
  <sheetData>
    <row r="1">
      <c r="A1" s="3" t="inlineStr">
        <is>
          <t>Tier</t>
        </is>
      </c>
      <c r="B1" s="3" t="inlineStr">
        <is>
          <t>Reward price</t>
        </is>
      </c>
      <c r="C1" s="3" t="inlineStr">
        <is>
          <t>Shipping charged</t>
        </is>
      </c>
      <c r="D1" s="3" t="inlineStr">
        <is>
          <t>Total pledge</t>
        </is>
      </c>
      <c r="E1" s="3" t="inlineStr">
        <is>
          <t>KS fee 5%</t>
        </is>
      </c>
      <c r="F1" s="3" t="inlineStr">
        <is>
          <t>Processing 3%+$0.20</t>
        </is>
      </c>
      <c r="G1" s="3" t="inlineStr">
        <is>
          <t>Net cash to WW</t>
        </is>
      </c>
      <c r="H1" s="3" t="inlineStr">
        <is>
          <t>Reward cost (base)</t>
        </is>
      </c>
      <c r="I1" s="3" t="inlineStr">
        <is>
          <t>Actual shipping cost</t>
        </is>
      </c>
      <c r="J1" s="3" t="inlineStr">
        <is>
          <t>Contribution margin $</t>
        </is>
      </c>
      <c r="K1" s="3" t="inlineStr">
        <is>
          <t>Margin % of net</t>
        </is>
      </c>
      <c r="L1" s="3" t="inlineStr">
        <is>
          <t>Qty cap</t>
        </is>
      </c>
      <c r="M1" s="3" t="inlineStr">
        <is>
          <t>Est. delivery</t>
        </is>
      </c>
    </row>
    <row r="2">
      <c r="A2" t="inlineStr">
        <is>
          <t>T1 Supporter — decal, backer wall, updates</t>
        </is>
      </c>
      <c r="B2" s="11">
        <f>p_support</f>
        <v/>
      </c>
      <c r="C2" s="11">
        <f>ship_sup</f>
        <v/>
      </c>
      <c r="D2" s="11">
        <f>B2+C2</f>
        <v/>
      </c>
      <c r="E2" s="12">
        <f>D2*ks_fee</f>
        <v/>
      </c>
      <c r="F2" s="12">
        <f>D2*pp_fee+pp_fix</f>
        <v/>
      </c>
      <c r="G2" s="12">
        <f>D2-E2-F2</f>
        <v/>
      </c>
      <c r="H2" s="11">
        <f>c_support</f>
        <v/>
      </c>
      <c r="I2" s="12">
        <f>cost_ship_sup</f>
        <v/>
      </c>
      <c r="J2" s="12">
        <f>G2-H2-I2</f>
        <v/>
      </c>
      <c r="K2" s="8">
        <f>IF(G2=0,0,J2/G2)</f>
        <v/>
      </c>
      <c r="L2" t="inlineStr">
        <is>
          <t>no cap</t>
        </is>
      </c>
      <c r="M2" t="inlineStr">
        <is>
          <t>Mar 2027</t>
        </is>
      </c>
    </row>
    <row r="3">
      <c r="A3" t="inlineStr">
        <is>
          <t>T2 Remote Control Kit (Honda iGX390 electric-start retrofit)</t>
        </is>
      </c>
      <c r="B3" s="11">
        <f>p_fobkit</f>
        <v/>
      </c>
      <c r="C3" s="11">
        <f>ship_kit</f>
        <v/>
      </c>
      <c r="D3" s="11">
        <f>B3+C3</f>
        <v/>
      </c>
      <c r="E3" s="12">
        <f>D3*ks_fee</f>
        <v/>
      </c>
      <c r="F3" s="12">
        <f>D3*pp_fee+pp_fix</f>
        <v/>
      </c>
      <c r="G3" s="12">
        <f>D3-E3-F3</f>
        <v/>
      </c>
      <c r="H3" s="11">
        <f>c_kit</f>
        <v/>
      </c>
      <c r="I3" s="12">
        <f>cost_ship_kit</f>
        <v/>
      </c>
      <c r="J3" s="12">
        <f>G3-H3-I3</f>
        <v/>
      </c>
      <c r="K3" s="8">
        <f>IF(G3=0,0,J3/G3)</f>
        <v/>
      </c>
      <c r="L3" t="n">
        <v>10</v>
      </c>
      <c r="M3" t="inlineStr">
        <is>
          <t>May 2027</t>
        </is>
      </c>
    </row>
    <row r="4">
      <c r="A4" t="inlineStr">
        <is>
          <t>T3 DL3000 Early Bird</t>
        </is>
      </c>
      <c r="B4" s="11">
        <f>p_early</f>
        <v/>
      </c>
      <c r="C4" s="11">
        <f>ship_pump</f>
        <v/>
      </c>
      <c r="D4" s="11">
        <f>B4+C4</f>
        <v/>
      </c>
      <c r="E4" s="12">
        <f>D4*ks_fee</f>
        <v/>
      </c>
      <c r="F4" s="12">
        <f>D4*pp_fee+pp_fix</f>
        <v/>
      </c>
      <c r="G4" s="12">
        <f>D4-E4-F4</f>
        <v/>
      </c>
      <c r="H4" s="11">
        <f>unit_cost_base</f>
        <v/>
      </c>
      <c r="I4" s="12">
        <f>cost_ship_pump</f>
        <v/>
      </c>
      <c r="J4" s="12">
        <f>G4-H4-I4</f>
        <v/>
      </c>
      <c r="K4" s="8">
        <f>IF(G4=0,0,J4/G4)</f>
        <v/>
      </c>
      <c r="L4" t="n">
        <v>10</v>
      </c>
      <c r="M4" t="inlineStr">
        <is>
          <t>Jun 2027</t>
        </is>
      </c>
    </row>
    <row r="5">
      <c r="A5" t="inlineStr">
        <is>
          <t>T4 DL3000 Kickstarter price</t>
        </is>
      </c>
      <c r="B5" s="11">
        <f>p_std</f>
        <v/>
      </c>
      <c r="C5" s="11">
        <f>ship_pump</f>
        <v/>
      </c>
      <c r="D5" s="11">
        <f>B5+C5</f>
        <v/>
      </c>
      <c r="E5" s="12">
        <f>D5*ks_fee</f>
        <v/>
      </c>
      <c r="F5" s="12">
        <f>D5*pp_fee+pp_fix</f>
        <v/>
      </c>
      <c r="G5" s="12">
        <f>D5-E5-F5</f>
        <v/>
      </c>
      <c r="H5" s="11">
        <f>unit_cost_base</f>
        <v/>
      </c>
      <c r="I5" s="12">
        <f>cost_ship_pump</f>
        <v/>
      </c>
      <c r="J5" s="12">
        <f>G5-H5-I5</f>
        <v/>
      </c>
      <c r="K5" s="8">
        <f>IF(G5=0,0,J5/G5)</f>
        <v/>
      </c>
      <c r="L5" t="n">
        <v>15</v>
      </c>
      <c r="M5" t="inlineStr">
        <is>
          <t>Jul 2027</t>
        </is>
      </c>
    </row>
    <row r="6">
      <c r="A6" t="inlineStr">
        <is>
          <t>T5 DL3000 + Hose &amp; Nozzle Package</t>
        </is>
      </c>
      <c r="B6" s="11">
        <f>p_hose</f>
        <v/>
      </c>
      <c r="C6" s="11">
        <f>ship_pump</f>
        <v/>
      </c>
      <c r="D6" s="11">
        <f>B6+C6</f>
        <v/>
      </c>
      <c r="E6" s="12">
        <f>D6*ks_fee</f>
        <v/>
      </c>
      <c r="F6" s="12">
        <f>D6*pp_fee+pp_fix</f>
        <v/>
      </c>
      <c r="G6" s="12">
        <f>D6-E6-F6</f>
        <v/>
      </c>
      <c r="H6" s="11">
        <f>unit_cost_base+c_hosepkg</f>
        <v/>
      </c>
      <c r="I6" s="12">
        <f>cost_ship_pump</f>
        <v/>
      </c>
      <c r="J6" s="12">
        <f>G6-H6-I6</f>
        <v/>
      </c>
      <c r="K6" s="8">
        <f>IF(G6=0,0,J6/G6)</f>
        <v/>
      </c>
      <c r="L6" t="n">
        <v>10</v>
      </c>
      <c r="M6" t="inlineStr">
        <is>
          <t>Jul 2027</t>
        </is>
      </c>
    </row>
    <row r="8">
      <c r="A8" s="6" t="inlineStr">
        <is>
          <t>Contribution margin = net cash after fees minus reward cost minus actual shipping. Dropped pledges are applied at the scenario level, not per tier. Shipping regions: contiguous US only (see reward structure document).</t>
        </is>
      </c>
    </row>
    <row r="9">
      <c r="A9" s="6" t="inlineStr">
        <is>
          <t>Add-ons (PROPOSED, priced on Rewards doc): spare fob $45; 2nd 50 ft hose $220; extended 2-year warranty $350. Not included in scenario totals (upside only).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3" t="inlineStr">
        <is>
          <t>Line</t>
        </is>
      </c>
      <c r="B1" s="3" t="inlineStr">
        <is>
          <t>Conservative</t>
        </is>
      </c>
      <c r="C1" s="3" t="inlineStr">
        <is>
          <t>Base</t>
        </is>
      </c>
      <c r="D1" s="3" t="inlineStr">
        <is>
          <t>Optimistic</t>
        </is>
      </c>
      <c r="E1" s="3" t="inlineStr">
        <is>
          <t>Notes</t>
        </is>
      </c>
    </row>
    <row r="2">
      <c r="A2" s="14" t="inlineStr">
        <is>
          <t>Supporter backers</t>
        </is>
      </c>
      <c r="B2" s="15">
        <f>Inputs!E61</f>
        <v/>
      </c>
      <c r="C2" s="15">
        <f>Inputs!B61</f>
        <v/>
      </c>
      <c r="D2" s="15">
        <f>Inputs!F61</f>
        <v/>
      </c>
      <c r="E2" s="6" t="inlineStr"/>
    </row>
    <row r="3">
      <c r="A3" s="14" t="inlineStr">
        <is>
          <t>Remote Control Kit backers</t>
        </is>
      </c>
      <c r="B3" s="15">
        <f>Inputs!E62</f>
        <v/>
      </c>
      <c r="C3" s="15">
        <f>Inputs!B62</f>
        <v/>
      </c>
      <c r="D3" s="15">
        <f>Inputs!F62</f>
        <v/>
      </c>
      <c r="E3" s="6" t="inlineStr"/>
    </row>
    <row r="4">
      <c r="A4" s="14" t="inlineStr">
        <is>
          <t>DL3000 Early Bird backers</t>
        </is>
      </c>
      <c r="B4" s="15">
        <f>Inputs!E63</f>
        <v/>
      </c>
      <c r="C4" s="15">
        <f>Inputs!B63</f>
        <v/>
      </c>
      <c r="D4" s="15">
        <f>Inputs!F63</f>
        <v/>
      </c>
      <c r="E4" s="6" t="inlineStr"/>
    </row>
    <row r="5">
      <c r="A5" s="14" t="inlineStr">
        <is>
          <t>DL3000 Kickstarter-price backers</t>
        </is>
      </c>
      <c r="B5" s="15">
        <f>Inputs!E64</f>
        <v/>
      </c>
      <c r="C5" s="15">
        <f>Inputs!B64</f>
        <v/>
      </c>
      <c r="D5" s="15">
        <f>Inputs!F64</f>
        <v/>
      </c>
      <c r="E5" s="6" t="inlineStr"/>
    </row>
    <row r="6">
      <c r="A6" s="14" t="inlineStr">
        <is>
          <t>DL3000 + Hose backers</t>
        </is>
      </c>
      <c r="B6" s="15">
        <f>Inputs!E65</f>
        <v/>
      </c>
      <c r="C6" s="15">
        <f>Inputs!B65</f>
        <v/>
      </c>
      <c r="D6" s="15">
        <f>Inputs!F65</f>
        <v/>
      </c>
      <c r="E6" s="6" t="inlineStr"/>
    </row>
    <row r="7">
      <c r="A7" s="4" t="inlineStr">
        <is>
          <t>Total pumps to build</t>
        </is>
      </c>
      <c r="B7" s="4">
        <f>B4+B5+B6</f>
        <v/>
      </c>
      <c r="C7" s="4">
        <f>C4+C5+C6</f>
        <v/>
      </c>
      <c r="D7" s="4">
        <f>D4+D5+D6</f>
        <v/>
      </c>
    </row>
    <row r="8">
      <c r="A8" t="inlineStr">
        <is>
          <t>Total backers (pledges)</t>
        </is>
      </c>
      <c r="B8">
        <f>B2+B3+B7</f>
        <v/>
      </c>
      <c r="C8">
        <f>C2+C3+C7</f>
        <v/>
      </c>
      <c r="D8">
        <f>D2+D3+D7</f>
        <v/>
      </c>
    </row>
    <row r="10">
      <c r="A10" s="4" t="inlineStr">
        <is>
          <t>Gross pledged (rewards + shipping)</t>
        </is>
      </c>
      <c r="B10" s="13">
        <f>B2*Rewards!$D$2+B3*Rewards!$D$3+B4*Rewards!$D$4+B5*Rewards!$D$5+B6*Rewards!$D$6</f>
        <v/>
      </c>
      <c r="C10" s="13">
        <f>C2*Rewards!$D$2+C3*Rewards!$D$3+C4*Rewards!$D$4+C5*Rewards!$D$5+C6*Rewards!$D$6</f>
        <v/>
      </c>
      <c r="D10" s="13">
        <f>D2*Rewards!$D$2+D3*Rewards!$D$3+D4*Rewards!$D$4+D5*Rewards!$D$5+D6*Rewards!$D$6</f>
        <v/>
      </c>
    </row>
    <row r="11">
      <c r="A11" t="inlineStr">
        <is>
          <t xml:space="preserve">  of which shipping charged</t>
        </is>
      </c>
      <c r="B11" s="11">
        <f>B2*Rewards!$C$2+B3*Rewards!$C$3+(B7)*Rewards!$C$4</f>
        <v/>
      </c>
      <c r="C11" s="11">
        <f>C2*Rewards!$C$2+C3*Rewards!$C$3+(C7)*Rewards!$C$4</f>
        <v/>
      </c>
      <c r="D11" s="11">
        <f>D2*Rewards!$C$2+D3*Rewards!$C$3+(D7)*Rewards!$C$4</f>
        <v/>
      </c>
    </row>
    <row r="12">
      <c r="A12" t="inlineStr">
        <is>
          <t>Less dropped / failed pledges</t>
        </is>
      </c>
      <c r="B12" s="11">
        <f>-B10*drop_rate</f>
        <v/>
      </c>
      <c r="C12" s="11">
        <f>-C10*drop_rate</f>
        <v/>
      </c>
      <c r="D12" s="11">
        <f>-D10*drop_rate</f>
        <v/>
      </c>
    </row>
    <row r="13">
      <c r="A13" t="inlineStr">
        <is>
          <t>Collected pledges</t>
        </is>
      </c>
      <c r="B13" s="11">
        <f>B10+B12</f>
        <v/>
      </c>
      <c r="C13" s="11">
        <f>C10+C12</f>
        <v/>
      </c>
      <c r="D13" s="11">
        <f>D10+D12</f>
        <v/>
      </c>
    </row>
    <row r="14">
      <c r="A14" t="inlineStr">
        <is>
          <t>Less Kickstarter fee (5%)</t>
        </is>
      </c>
      <c r="B14" s="11">
        <f>-B13*ks_fee</f>
        <v/>
      </c>
      <c r="C14" s="11">
        <f>-C13*ks_fee</f>
        <v/>
      </c>
      <c r="D14" s="11">
        <f>-D13*ks_fee</f>
        <v/>
      </c>
    </row>
    <row r="15">
      <c r="A15" t="inlineStr">
        <is>
          <t>Less payment processing (3% + $0.20 × pledges)</t>
        </is>
      </c>
      <c r="B15" s="11">
        <f>-(B13*pp_fee+B8*(1-drop_rate)*pp_fix)</f>
        <v/>
      </c>
      <c r="C15" s="11">
        <f>-(C13*pp_fee+C8*(1-drop_rate)*pp_fix)</f>
        <v/>
      </c>
      <c r="D15" s="11">
        <f>-(D13*pp_fee+D8*(1-drop_rate)*pp_fix)</f>
        <v/>
      </c>
    </row>
    <row r="16">
      <c r="A16" s="4" t="inlineStr">
        <is>
          <t>NET CASH RECEIVED FROM KICKSTARTER</t>
        </is>
      </c>
      <c r="B16" s="13">
        <f>B13+B14+B15</f>
        <v/>
      </c>
      <c r="C16" s="13">
        <f>C13+C14+C15</f>
        <v/>
      </c>
      <c r="D16" s="13">
        <f>D13+D14+D15</f>
        <v/>
      </c>
    </row>
    <row r="18">
      <c r="A18" t="inlineStr">
        <is>
          <t>Per-unit cost used (DL3000)</t>
        </is>
      </c>
      <c r="B18" s="11">
        <f>unit_cost_cons</f>
        <v/>
      </c>
      <c r="C18" s="11">
        <f>unit_cost_base</f>
        <v/>
      </c>
      <c r="D18" s="11">
        <f>unit_cost_opt</f>
        <v/>
      </c>
    </row>
    <row r="19">
      <c r="A19" t="inlineStr">
        <is>
          <t>Pump build cost (units × per-unit)</t>
        </is>
      </c>
      <c r="B19" s="11">
        <f>B7*B18</f>
        <v/>
      </c>
      <c r="C19" s="11">
        <f>C7*C18</f>
        <v/>
      </c>
      <c r="D19" s="11">
        <f>D7*D18</f>
        <v/>
      </c>
    </row>
    <row r="20">
      <c r="A20" t="inlineStr">
        <is>
          <t>Hose package cost</t>
        </is>
      </c>
      <c r="B20" s="11">
        <f>B6*c_hosepkg*(1+cost_over)</f>
        <v/>
      </c>
      <c r="C20" s="11">
        <f>C6*c_hosepkg</f>
        <v/>
      </c>
      <c r="D20" s="11">
        <f>D6*c_hosepkg</f>
        <v/>
      </c>
    </row>
    <row r="21">
      <c r="A21" t="inlineStr">
        <is>
          <t>Remote Control Kit cost</t>
        </is>
      </c>
      <c r="B21" s="11">
        <f>B3*c_kit*(1+cost_over)</f>
        <v/>
      </c>
      <c r="C21" s="11">
        <f>C3*c_kit</f>
        <v/>
      </c>
      <c r="D21" s="11">
        <f>D3*c_kit</f>
        <v/>
      </c>
    </row>
    <row r="22">
      <c r="A22" t="inlineStr">
        <is>
          <t>Supporter reward cost</t>
        </is>
      </c>
      <c r="B22" s="11">
        <f>B2*c_support</f>
        <v/>
      </c>
      <c r="C22" s="11">
        <f>C2*c_support</f>
        <v/>
      </c>
      <c r="D22" s="11">
        <f>D2*c_support</f>
        <v/>
      </c>
    </row>
    <row r="23">
      <c r="A23" t="inlineStr">
        <is>
          <t>Actual freight &amp; shipping cost</t>
        </is>
      </c>
      <c r="B23" s="11">
        <f>B7*cost_ship_pump+B3*cost_ship_kit+B2*cost_ship_sup</f>
        <v/>
      </c>
      <c r="C23" s="11">
        <f>C7*cost_ship_pump+C3*cost_ship_kit+C2*cost_ship_sup</f>
        <v/>
      </c>
      <c r="D23" s="11">
        <f>D7*cost_ship_pump+D3*cost_ship_kit+D2*cost_ship_sup</f>
        <v/>
      </c>
    </row>
    <row r="24">
      <c r="A24" s="4" t="inlineStr">
        <is>
          <t>Total per-unit (variable) costs</t>
        </is>
      </c>
      <c r="B24" s="13">
        <f>SUM(B19:B23)</f>
        <v/>
      </c>
      <c r="C24" s="13">
        <f>SUM(C19:C23)</f>
        <v/>
      </c>
      <c r="D24" s="13">
        <f>SUM(D19:D23)</f>
        <v/>
      </c>
    </row>
    <row r="26">
      <c r="A26" t="inlineStr">
        <is>
          <t>One-time costs (insurance, FCC SDoC, testing, tooling, video, legal, software)</t>
        </is>
      </c>
      <c r="B26" s="11">
        <f>o_insur+o_fcc+o_test+o_tool+o_video+o_legal+o_soft</f>
        <v/>
      </c>
      <c r="C26" s="11">
        <f>o_insur+o_fcc+o_test+o_tool+o_video+o_legal+o_soft</f>
        <v/>
      </c>
      <c r="D26" s="11">
        <f>o_insur+o_fcc+o_test+o_tool+o_video+o_legal+o_soft</f>
        <v/>
      </c>
    </row>
    <row r="27">
      <c r="A27" t="inlineStr">
        <is>
          <t>Optional advertising (separately costed)</t>
        </is>
      </c>
      <c r="B27" s="11">
        <f>o_ads</f>
        <v/>
      </c>
      <c r="C27" s="11">
        <f>o_ads</f>
        <v/>
      </c>
      <c r="D27" s="11">
        <f>o_ads</f>
        <v/>
      </c>
    </row>
    <row r="28">
      <c r="A28" t="inlineStr">
        <is>
          <t>Contingency</t>
        </is>
      </c>
      <c r="B28" s="11">
        <f>(B24+B26)*contingency</f>
        <v/>
      </c>
      <c r="C28" s="11">
        <f>(C24+C26)*contingency</f>
        <v/>
      </c>
      <c r="D28" s="11">
        <f>(D24+D26)*contingency</f>
        <v/>
      </c>
    </row>
    <row r="29">
      <c r="A29" s="4" t="inlineStr">
        <is>
          <t>TOTAL COST TO DELIVER</t>
        </is>
      </c>
      <c r="B29" s="13">
        <f>B24+B26+B27+B28</f>
        <v/>
      </c>
      <c r="C29" s="13">
        <f>C24+C26+C27+C28</f>
        <v/>
      </c>
      <c r="D29" s="13">
        <f>D24+D26+D27+D28</f>
        <v/>
      </c>
    </row>
    <row r="31">
      <c r="A31" s="4" t="inlineStr">
        <is>
          <t>SURPLUS / (SHORTFALL) before tax</t>
        </is>
      </c>
      <c r="B31" s="13">
        <f>B16-B29</f>
        <v/>
      </c>
      <c r="C31" s="13">
        <f>C16-C29</f>
        <v/>
      </c>
      <c r="D31" s="13">
        <f>D16-D29</f>
        <v/>
      </c>
    </row>
    <row r="32">
      <c r="A32" t="inlineStr">
        <is>
          <t>Income tax reserve on positive surplus</t>
        </is>
      </c>
      <c r="B32" s="11">
        <f>-MAX(0,B31)*tax_res</f>
        <v/>
      </c>
      <c r="C32" s="11">
        <f>-MAX(0,C31)*tax_res</f>
        <v/>
      </c>
      <c r="D32" s="11">
        <f>-MAX(0,D31)*tax_res</f>
        <v/>
      </c>
    </row>
    <row r="33">
      <c r="A33" s="4" t="inlineStr">
        <is>
          <t>Surplus after tax reserve (cash left for next batch / patent)</t>
        </is>
      </c>
      <c r="B33" s="13">
        <f>B31+B32</f>
        <v/>
      </c>
      <c r="C33" s="13">
        <f>C31+C32</f>
        <v/>
      </c>
      <c r="D33" s="13">
        <f>D31+D32</f>
        <v/>
      </c>
    </row>
    <row r="34">
      <c r="A34" t="inlineStr">
        <is>
          <t>Gross pledged vs funding goal (Funding_Goal!B12)</t>
        </is>
      </c>
      <c r="B34">
        <f>IF(B10&gt;=Funding_Goal!$B$12,"FUNDED","NOT FUNDED")</f>
        <v/>
      </c>
      <c r="C34">
        <f>IF(C10&gt;=Funding_Goal!$B$12,"FUNDED","NOT FUNDED")</f>
        <v/>
      </c>
      <c r="D34">
        <f>IF(D10&gt;=Funding_Goal!$B$12,"FUNDED","NOT FUNDED")</f>
        <v/>
      </c>
    </row>
    <row r="35">
      <c r="A35" s="6" t="inlineStr">
        <is>
          <t>Note: If the Conservative scenario is NOT FUNDED, no money is collected and no rewards are owed — that is the Kickstarter all-or-nothing protection.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80" customWidth="1" min="3" max="3"/>
  </cols>
  <sheetData>
    <row r="1">
      <c r="A1" s="3" t="inlineStr">
        <is>
          <t>Funding goal derivation</t>
        </is>
      </c>
      <c r="B1" s="3" t="inlineStr">
        <is>
          <t>Amount</t>
        </is>
      </c>
      <c r="C1" s="3" t="inlineStr">
        <is>
          <t>Notes</t>
        </is>
      </c>
    </row>
    <row r="2">
      <c r="A2" t="inlineStr">
        <is>
          <t>Minimum production batch (units)</t>
        </is>
      </c>
      <c r="B2">
        <f>min_batch</f>
        <v/>
      </c>
    </row>
    <row r="3">
      <c r="A3" t="inlineStr">
        <is>
          <t>Per-unit cost, Base</t>
        </is>
      </c>
      <c r="B3" s="11">
        <f>unit_cost_base</f>
        <v/>
      </c>
    </row>
    <row r="4">
      <c r="A4" t="inlineStr">
        <is>
          <t>Per-unit actual freight</t>
        </is>
      </c>
      <c r="B4" s="11">
        <f>cost_ship_pump</f>
        <v/>
      </c>
    </row>
    <row r="5">
      <c r="A5" t="inlineStr">
        <is>
          <t>Variable cost of minimum batch</t>
        </is>
      </c>
      <c r="B5" s="11">
        <f>B2*(B3+B4)</f>
        <v/>
      </c>
    </row>
    <row r="6">
      <c r="A6" t="inlineStr">
        <is>
          <t>One-time costs required to deliver safely (insurance, FCC, testing, tooling, video, legal, software)</t>
        </is>
      </c>
      <c r="B6" s="11">
        <f>o_insur+o_fcc+o_test+o_tool+o_video+o_legal+o_soft</f>
        <v/>
      </c>
    </row>
    <row r="7">
      <c r="A7" t="inlineStr">
        <is>
          <t>Contingency</t>
        </is>
      </c>
      <c r="B7" s="11">
        <f>(B5+B6)*contingency</f>
        <v/>
      </c>
    </row>
    <row r="8">
      <c r="A8" s="4" t="inlineStr">
        <is>
          <t>Cash needed to deliver minimum batch</t>
        </is>
      </c>
      <c r="B8" s="11">
        <f>B5+B6+B7</f>
        <v/>
      </c>
    </row>
    <row r="9">
      <c r="A9" t="inlineStr">
        <is>
          <t>Effective take-home rate after fees and drops (from Base scenario)</t>
        </is>
      </c>
      <c r="B9" s="8">
        <f>Scenarios!C16/Scenarios!C10</f>
        <v/>
      </c>
    </row>
    <row r="10">
      <c r="A10" t="inlineStr">
        <is>
          <t>Gross pledges required = cash needed ÷ take-home rate</t>
        </is>
      </c>
      <c r="B10" s="11">
        <f>B8/B9</f>
        <v/>
      </c>
    </row>
    <row r="11">
      <c r="A11" t="inlineStr">
        <is>
          <t>Rounded up to nearest $1,000</t>
        </is>
      </c>
      <c r="B11" s="11">
        <f>CEILING(B10,1000)</f>
        <v/>
      </c>
    </row>
    <row r="12">
      <c r="A12" s="4" t="inlineStr">
        <is>
          <t>RECOMMENDED FUNDING GOAL</t>
        </is>
      </c>
      <c r="B12" s="13">
        <f>B11</f>
        <v/>
      </c>
      <c r="C12" s="6" t="inlineStr">
        <is>
          <t>Set on Kickstarter as the all-or-nothing goal. It funds the minimum batch plus the one-time items; anything above it funds more units at better margins.</t>
        </is>
      </c>
    </row>
    <row r="14">
      <c r="A14" s="4" t="inlineStr">
        <is>
          <t>Break-even backer counts</t>
        </is>
      </c>
    </row>
    <row r="15">
      <c r="A15" t="inlineStr">
        <is>
          <t>Contribution margin per DL3000 (Kickstarter price tier, after fees, cost and freight)</t>
        </is>
      </c>
      <c r="B15" s="11">
        <f>Rewards!J5</f>
        <v/>
      </c>
    </row>
    <row r="16">
      <c r="A16" t="inlineStr">
        <is>
          <t>Contribution margin per Early Bird</t>
        </is>
      </c>
      <c r="B16" s="11">
        <f>Rewards!J4</f>
        <v/>
      </c>
    </row>
    <row r="17">
      <c r="A17" t="inlineStr">
        <is>
          <t>One-time costs + contingency on them</t>
        </is>
      </c>
      <c r="B17" s="11">
        <f>B6*(1+contingency)</f>
        <v/>
      </c>
    </row>
    <row r="18">
      <c r="A18" t="inlineStr">
        <is>
          <t>Pumps needed to cover one-time costs if all at Early Bird price</t>
        </is>
      </c>
      <c r="B18">
        <f>ROUNDUP(B17/B16,0)</f>
        <v/>
      </c>
    </row>
    <row r="19">
      <c r="A19" t="inlineStr">
        <is>
          <t>Pumps needed to cover one-time costs if all at Kickstarter price</t>
        </is>
      </c>
      <c r="B19">
        <f>ROUNDUP(B17/B15,0)</f>
        <v/>
      </c>
    </row>
    <row r="20">
      <c r="A20" t="inlineStr">
        <is>
          <t>Pumps needed to cover one-time costs + optional ads (Kickstarter price)</t>
        </is>
      </c>
      <c r="B20">
        <f>ROUNDUP((B17+o_ads)/B15,0)</f>
        <v/>
      </c>
    </row>
    <row r="22">
      <c r="A22" t="inlineStr">
        <is>
          <t>Reality check: goal ÷ average pump pledge (approx. pumps needed to hit goal)</t>
        </is>
      </c>
      <c r="B22">
        <f>ROUNDUP(B12/Rewards!D5,0)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20" customWidth="1" min="6" max="6"/>
    <col width="90" customWidth="1" min="7" max="7"/>
  </cols>
  <sheetData>
    <row r="1">
      <c r="A1" s="3" t="inlineStr">
        <is>
          <t>Month</t>
        </is>
      </c>
      <c r="B1" s="3" t="inlineStr">
        <is>
          <t>Phase</t>
        </is>
      </c>
      <c r="C1" s="3" t="inlineStr">
        <is>
          <t>Cash in</t>
        </is>
      </c>
      <c r="D1" s="3" t="inlineStr">
        <is>
          <t>Cash out</t>
        </is>
      </c>
      <c r="E1" s="3" t="inlineStr">
        <is>
          <t>Net</t>
        </is>
      </c>
      <c r="F1" s="3" t="inlineStr">
        <is>
          <t>Cumulative cash (Base)</t>
        </is>
      </c>
      <c r="G1" s="3" t="inlineStr">
        <is>
          <t>Notes</t>
        </is>
      </c>
    </row>
    <row r="2">
      <c r="A2" t="inlineStr">
        <is>
          <t>2026-10</t>
        </is>
      </c>
      <c r="B2" t="inlineStr">
        <is>
          <t>Prelaunch prep</t>
        </is>
      </c>
      <c r="C2" s="11">
        <f>0</f>
        <v/>
      </c>
      <c r="D2" s="11">
        <f>o_video*0.5+o_soft*0.5</f>
        <v/>
      </c>
      <c r="E2" s="11">
        <f>C2-D2</f>
        <v/>
      </c>
      <c r="F2" s="11">
        <f>E2</f>
        <v/>
      </c>
      <c r="G2" s="6" t="inlineStr">
        <is>
          <t>Shoot photos; email tool; landing page (existing WordPress). No paid ads required.</t>
        </is>
      </c>
    </row>
    <row r="3">
      <c r="A3" t="inlineStr">
        <is>
          <t>2026-11</t>
        </is>
      </c>
      <c r="B3" t="inlineStr">
        <is>
          <t>Prelaunch prep</t>
        </is>
      </c>
      <c r="C3" s="11">
        <f>0</f>
        <v/>
      </c>
      <c r="D3" s="11">
        <f>o_tool*0.5</f>
        <v/>
      </c>
      <c r="E3" s="11">
        <f>C3-D3</f>
        <v/>
      </c>
      <c r="F3" s="11">
        <f>F2+E3</f>
        <v/>
      </c>
      <c r="G3" s="6" t="inlineStr">
        <is>
          <t>Fixtures, crimp tooling, crate template. Insurance NOT yet bound (defer to campaign success or bind now if Northern Tool requires).</t>
        </is>
      </c>
    </row>
    <row r="4">
      <c r="A4" t="inlineStr">
        <is>
          <t>2026-12</t>
        </is>
      </c>
      <c r="B4" t="inlineStr">
        <is>
          <t>Prelaunch page live</t>
        </is>
      </c>
      <c r="C4" s="11">
        <f>0</f>
        <v/>
      </c>
      <c r="D4" s="11">
        <f>o_video*0.5</f>
        <v/>
      </c>
      <c r="E4" s="11">
        <f>C4-D4</f>
        <v/>
      </c>
      <c r="F4" s="11">
        <f>F3+E4</f>
        <v/>
      </c>
      <c r="G4" s="6" t="inlineStr">
        <is>
          <t>Kickstarter prelaunch page; collect followers; finish demo video.</t>
        </is>
      </c>
    </row>
    <row r="5">
      <c r="A5" t="inlineStr">
        <is>
          <t>2027-01</t>
        </is>
      </c>
      <c r="B5" t="inlineStr">
        <is>
          <t>Launch (Jan 19)</t>
        </is>
      </c>
      <c r="C5" s="11">
        <f>0</f>
        <v/>
      </c>
      <c r="D5" s="11">
        <f>o_ads*0.5</f>
        <v/>
      </c>
      <c r="E5" s="11">
        <f>C5-D5</f>
        <v/>
      </c>
      <c r="F5" s="11">
        <f>F4+E5</f>
        <v/>
      </c>
      <c r="G5" s="6" t="inlineStr">
        <is>
          <t>Optional ad test. Kickstarter collects pledges but pays nothing until ~14 days after end.</t>
        </is>
      </c>
    </row>
    <row r="6">
      <c r="A6" t="inlineStr">
        <is>
          <t>2027-02</t>
        </is>
      </c>
      <c r="B6" t="inlineStr">
        <is>
          <t>Campaign ends (Feb 18); payout ~Mar 4</t>
        </is>
      </c>
      <c r="C6" s="11">
        <f>0</f>
        <v/>
      </c>
      <c r="D6" s="11">
        <f>o_ads*0.5+o_insur*0.5</f>
        <v/>
      </c>
      <c r="E6" s="11">
        <f>C6-D6</f>
        <v/>
      </c>
      <c r="F6" s="11">
        <f>F5+E6</f>
        <v/>
      </c>
      <c r="G6" s="6" t="inlineStr">
        <is>
          <t>Bind insurance on success (Kinsale allows financing: ~$2,163 down). Order nothing until funded.</t>
        </is>
      </c>
    </row>
    <row r="7">
      <c r="A7" t="inlineStr">
        <is>
          <t>2027-03</t>
        </is>
      </c>
      <c r="B7" t="inlineStr">
        <is>
          <t>Payout received; parts ordered</t>
        </is>
      </c>
      <c r="C7" s="11">
        <f>Scenarios!C16</f>
        <v/>
      </c>
      <c r="D7" s="11">
        <f>o_insur*0.5+o_fcc+o_test+o_legal+o_tool*0.5+Scenarios!C19*0.6</f>
        <v/>
      </c>
      <c r="E7" s="11">
        <f>C7-D7</f>
        <v/>
      </c>
      <c r="F7" s="11">
        <f>F6+E7</f>
        <v/>
      </c>
      <c r="G7" s="6" t="inlineStr">
        <is>
          <t>Engines, pump ends, frames ordered (60% of pump parts); FCC SDoC; test gear.</t>
        </is>
      </c>
    </row>
    <row r="8">
      <c r="A8" t="inlineStr">
        <is>
          <t>2027-04</t>
        </is>
      </c>
      <c r="B8" t="inlineStr">
        <is>
          <t>Build batch 1 (Early Birds)</t>
        </is>
      </c>
      <c r="C8" s="11">
        <f>0</f>
        <v/>
      </c>
      <c r="D8" s="11">
        <f>Scenarios!C19*0.25+Scenarios!C21+Scenarios!C22</f>
        <v/>
      </c>
      <c r="E8" s="11">
        <f>C8-D8</f>
        <v/>
      </c>
      <c r="F8" s="11">
        <f>F7+E8</f>
        <v/>
      </c>
      <c r="G8" s="6" t="inlineStr">
        <is>
          <t>Kits and supporter rewards ship; first pumps in assembly.</t>
        </is>
      </c>
    </row>
    <row r="9">
      <c r="A9" t="inlineStr">
        <is>
          <t>2027-05</t>
        </is>
      </c>
      <c r="B9" t="inlineStr">
        <is>
          <t>Build batch 2</t>
        </is>
      </c>
      <c r="C9" s="11">
        <f>0</f>
        <v/>
      </c>
      <c r="D9" s="11">
        <f>Scenarios!C19*0.15+Scenarios!C20+Scenarios!C23*0.5</f>
        <v/>
      </c>
      <c r="E9" s="11">
        <f>C9-D9</f>
        <v/>
      </c>
      <c r="F9" s="11">
        <f>F8+E9</f>
        <v/>
      </c>
      <c r="G9" s="6" t="inlineStr">
        <is>
          <t>Early Bird pumps ship (freight).</t>
        </is>
      </c>
    </row>
    <row r="10">
      <c r="A10" t="inlineStr">
        <is>
          <t>2027-06</t>
        </is>
      </c>
      <c r="B10" t="inlineStr">
        <is>
          <t>Ship remaining</t>
        </is>
      </c>
      <c r="C10" s="11">
        <f>0</f>
        <v/>
      </c>
      <c r="D10" s="11">
        <f>Scenarios!C23*0.5+o_soft*0.5</f>
        <v/>
      </c>
      <c r="E10" s="11">
        <f>C10-D10</f>
        <v/>
      </c>
      <c r="F10" s="11">
        <f>F9+E10</f>
        <v/>
      </c>
      <c r="G10" s="6" t="inlineStr">
        <is>
          <t>Remaining pumps and hose packages ship; support ramps.</t>
        </is>
      </c>
    </row>
    <row r="11">
      <c r="A11" t="inlineStr">
        <is>
          <t>2027-07</t>
        </is>
      </c>
      <c r="B11" t="inlineStr">
        <is>
          <t>Close-out</t>
        </is>
      </c>
      <c r="C11" s="11">
        <f>0</f>
        <v/>
      </c>
      <c r="D11" s="11">
        <f>Scenarios!C28</f>
        <v/>
      </c>
      <c r="E11" s="11">
        <f>C11-D11</f>
        <v/>
      </c>
      <c r="F11" s="11">
        <f>F10+E11</f>
        <v/>
      </c>
      <c r="G11" s="6" t="inlineStr">
        <is>
          <t>Contingency drawn if needed; warranty reserve held.</t>
        </is>
      </c>
    </row>
    <row r="13">
      <c r="A13" s="4" t="inlineStr">
        <is>
          <t>MINIMUM CASH JEREMY NEEDS BEFORE KICKSTARTER PAYS OUT (Base path)</t>
        </is>
      </c>
      <c r="F13" s="11">
        <f>-MIN(F2:F11)</f>
        <v/>
      </c>
    </row>
    <row r="14">
      <c r="A14" s="6" t="inlineStr">
        <is>
          <t>Lowest cumulative balance occurs before the March payout. This is the founder's out-of-pocket exposure if the campaign succeeds; if it fails, only prelaunch costs (video, tools, email tool) are spent.</t>
        </is>
      </c>
    </row>
    <row r="15">
      <c r="A15" s="6" t="inlineStr">
        <is>
          <t>Supplier deposit modeled before payout (Inputs: deposit_pct × pump parts)</t>
        </is>
      </c>
      <c r="F15" s="11">
        <f>deposit_pct*Scenarios!C19</f>
        <v/>
      </c>
    </row>
    <row r="16">
      <c r="A16" s="4" t="inlineStr">
        <is>
          <t>Minimum cash including any modeled deposit</t>
        </is>
      </c>
      <c r="F16" s="11">
        <f>F13+F15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80" customWidth="1" min="4" max="4"/>
  </cols>
  <sheetData>
    <row r="1">
      <c r="A1" s="3" t="inlineStr">
        <is>
          <t>Stress case (applied to Base scenario)</t>
        </is>
      </c>
      <c r="B1" s="3" t="inlineStr">
        <is>
          <t>Surplus before tax</t>
        </is>
      </c>
      <c r="C1" s="3" t="inlineStr">
        <is>
          <t>Change vs Base</t>
        </is>
      </c>
      <c r="D1" s="3" t="inlineStr">
        <is>
          <t>What it means</t>
        </is>
      </c>
    </row>
    <row r="2">
      <c r="A2" t="inlineStr">
        <is>
          <t>Base scenario</t>
        </is>
      </c>
      <c r="B2" s="11">
        <f>Scenarios!C31</f>
        <v/>
      </c>
      <c r="C2" s="11">
        <f>B2-$B$2</f>
        <v/>
      </c>
      <c r="D2" s="6" t="inlineStr">
        <is>
          <t>Reference</t>
        </is>
      </c>
    </row>
    <row r="3">
      <c r="A3" t="inlineStr">
        <is>
          <t>Parts + labor cost +15%</t>
        </is>
      </c>
      <c r="B3" s="11">
        <f>Scenarios!C31-Scenarios!C19*0.15-Scenarios!C20*0.15-Scenarios!C21*0.15</f>
        <v/>
      </c>
      <c r="C3" s="11">
        <f>B3-$B$2</f>
        <v/>
      </c>
      <c r="D3" s="6" t="inlineStr">
        <is>
          <t>Engine price rise or pump-end import surprise</t>
        </is>
      </c>
    </row>
    <row r="4">
      <c r="A4" t="inlineStr">
        <is>
          <t>Parts + labor cost +30%</t>
        </is>
      </c>
      <c r="B4" s="11">
        <f>Scenarios!C31-Scenarios!C19*0.30-Scenarios!C20*0.30-Scenarios!C21*0.30</f>
        <v/>
      </c>
      <c r="C4" s="11">
        <f>B4-$B$2</f>
        <v/>
      </c>
      <c r="D4" s="6" t="inlineStr">
        <is>
          <t>Serious sourcing failure; still positive? check</t>
        </is>
      </c>
    </row>
    <row r="5">
      <c r="A5" t="inlineStr">
        <is>
          <t>Freight +$150 per pump</t>
        </is>
      </c>
      <c r="B5" s="11">
        <f>Scenarios!C31-Scenarios!C7*150</f>
        <v/>
      </c>
      <c r="C5" s="11">
        <f>B5-$B$2</f>
        <v/>
      </c>
      <c r="D5" s="6" t="inlineStr">
        <is>
          <t>Residential LTL surcharges</t>
        </is>
      </c>
    </row>
    <row r="6">
      <c r="A6" t="inlineStr">
        <is>
          <t>Dropped pledges 8% instead of 3%</t>
        </is>
      </c>
      <c r="B6" s="11">
        <f>Scenarios!C31-Scenarios!C10*0.05*(1-ks_fee-pp_fee)</f>
        <v/>
      </c>
      <c r="C6" s="11">
        <f>B6-$B$2</f>
        <v/>
      </c>
      <c r="D6" s="6" t="inlineStr">
        <is>
          <t>Card failures on $5k pledges</t>
        </is>
      </c>
    </row>
    <row r="7">
      <c r="A7" t="inlineStr">
        <is>
          <t>StarStone insurance ($10,598) instead of Kinsale</t>
        </is>
      </c>
      <c r="B7" s="11">
        <f>Scenarios!C31-(10598-o_insur)</f>
        <v/>
      </c>
      <c r="C7" s="11">
        <f>B7-$B$2</f>
        <v/>
      </c>
      <c r="D7" s="6" t="inlineStr">
        <is>
          <t>If $2M/$4M limits are required by a retailer</t>
        </is>
      </c>
    </row>
    <row r="8">
      <c r="A8" t="inlineStr">
        <is>
          <t>3-month delay (extra software/support + storage $600/mo)</t>
        </is>
      </c>
      <c r="B8" s="11">
        <f>Scenarios!C31-1800</f>
        <v/>
      </c>
      <c r="C8" s="11">
        <f>B8-$B$2</f>
        <v/>
      </c>
      <c r="D8" s="6" t="inlineStr">
        <is>
          <t>Backer goodwill cost not modeled; update cadence matters more</t>
        </is>
      </c>
    </row>
    <row r="9">
      <c r="A9" t="inlineStr">
        <is>
          <t>Only Early Birds sell (10 pumps, no T4/T5, no kits)</t>
        </is>
      </c>
      <c r="B9" s="11">
        <f>10*Rewards!J4+Inputs!B61*Rewards!J2-Scenarios!C26-Scenarios!C27-(10*(unit_cost_base+cost_ship_pump)+Scenarios!C26)*contingency</f>
        <v/>
      </c>
      <c r="C9" s="11">
        <f>B9-$B$2</f>
        <v/>
      </c>
      <c r="D9" s="6" t="inlineStr">
        <is>
          <t>Worst funded mix</t>
        </is>
      </c>
    </row>
    <row r="10">
      <c r="A10" t="inlineStr">
        <is>
          <t>Combined: cost +15% AND freight +$150 AND drops 8%</t>
        </is>
      </c>
      <c r="B10" s="11">
        <f>Scenarios!C31-Scenarios!C19*0.15-Scenarios!C20*0.15-Scenarios!C21*0.15-Scenarios!C7*150-Scenarios!C10*0.05*(1-ks_fee-pp_fee)</f>
        <v/>
      </c>
      <c r="C10" s="11">
        <f>B10-$B$2</f>
        <v/>
      </c>
      <c r="D10" s="6" t="inlineStr">
        <is>
          <t>Compound bad year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80" customWidth="1" min="3" max="3"/>
  </cols>
  <sheetData>
    <row r="1">
      <c r="A1" s="3" t="inlineStr">
        <is>
          <t>Capacity check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Founder hours per week</t>
        </is>
      </c>
      <c r="B2">
        <f>hrs_wk</f>
        <v/>
      </c>
    </row>
    <row r="3">
      <c r="A3" t="inlineStr">
        <is>
          <t>Hours per pump</t>
        </is>
      </c>
      <c r="B3">
        <f>hrs_unit</f>
        <v/>
      </c>
    </row>
    <row r="4">
      <c r="A4" t="inlineStr">
        <is>
          <t>Pumps per week (founder only)</t>
        </is>
      </c>
      <c r="B4">
        <f>ROUNDDOWN(B2/B3,1)</f>
        <v/>
      </c>
    </row>
    <row r="5">
      <c r="A5" t="inlineStr">
        <is>
          <t>Pumps in Base scenario</t>
        </is>
      </c>
      <c r="B5">
        <f>Scenarios!C7</f>
        <v/>
      </c>
    </row>
    <row r="6">
      <c r="A6" t="inlineStr">
        <is>
          <t>Weeks to build Base scenario</t>
        </is>
      </c>
      <c r="B6">
        <f>ROUNDUP(B5/B4,0)</f>
        <v/>
      </c>
    </row>
    <row r="7">
      <c r="A7" t="inlineStr">
        <is>
          <t>Pumps in Optimistic scenario</t>
        </is>
      </c>
      <c r="B7">
        <f>Scenarios!D7</f>
        <v/>
      </c>
    </row>
    <row r="8">
      <c r="A8" t="inlineStr">
        <is>
          <t>Weeks to build Optimistic scenario</t>
        </is>
      </c>
      <c r="B8">
        <f>ROUNDUP(B7/B4,0)</f>
        <v/>
      </c>
    </row>
    <row r="9">
      <c r="A9" t="inlineStr">
        <is>
          <t>Engine/pump-end lead time (weeks)</t>
        </is>
      </c>
      <c r="B9">
        <f>lead_eng</f>
        <v/>
      </c>
    </row>
    <row r="10">
      <c r="A10" t="inlineStr">
        <is>
          <t>Weeks from payout to last shipment (Base)</t>
        </is>
      </c>
      <c r="B10">
        <f>B9+B6+1</f>
        <v/>
      </c>
      <c r="C10" s="6" t="inlineStr">
        <is>
          <t>+1 week for freight. Compare with promised delivery windows on Rewards.</t>
        </is>
      </c>
    </row>
    <row r="11">
      <c r="A11" t="inlineStr">
        <is>
          <t>Weeks from payout to last shipment (Optimistic)</t>
        </is>
      </c>
      <c r="B11">
        <f>B9+B8+1</f>
        <v/>
      </c>
    </row>
    <row r="13">
      <c r="A13" s="4" t="inlineStr">
        <is>
          <t>HARD CAP recommended on pump rewards (all pump tiers combined)</t>
        </is>
      </c>
      <c r="B13" t="n">
        <v>35</v>
      </c>
      <c r="C13" s="6" t="inlineStr">
        <is>
          <t>Above ~35 pumps the founder-built model needs a helper or contract assembly; caps on Rewards enforce this (10 + 15 + 10).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2026-09-17T16:29:45Z</dcterms:created>
  <dcterms:modified xmlns:dcterms="http://purl.org/dc/terms/" xmlns:xsi="http://www.w3.org/2001/XMLSchema-instance" xsi:type="dcterms:W3CDTF">2026-09-17T16:29:45Z</dcterms:modified>
</cp:coreProperties>
</file>